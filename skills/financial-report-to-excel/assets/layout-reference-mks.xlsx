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wayme\Desktop\mks\"/>
    </mc:Choice>
  </mc:AlternateContent>
  <bookViews>
    <workbookView windowHeight="17680"/>
  </bookViews>
  <sheets>
    <sheet name="Sheet1" sheetId="1" r:id="rId1"/>
    <sheet name="说明与来源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James Guan</author>
  </authors>
  <commentList>
    <comment ref="G2" authorId="0">
      <text>
        <r>
          <rPr>
            <sz val="10"/>
            <rFont val="宋体"/>
            <charset val="134"/>
          </rPr>
          <t>Research and 
development</t>
        </r>
      </text>
    </comment>
    <comment ref="H2" authorId="0">
      <text>
        <r>
          <rPr>
            <sz val="10"/>
            <rFont val="宋体"/>
            <charset val="134"/>
          </rPr>
          <t>Sales, general and
 administrative</t>
        </r>
      </text>
    </comment>
    <comment ref="K2" authorId="0">
      <text>
        <r>
          <rPr>
            <sz val="10"/>
            <rFont val="宋体"/>
            <charset val="134"/>
          </rPr>
          <t>Geographic Revenue based upon Customer Billing Location</t>
        </r>
      </text>
    </comment>
    <comment ref="M3" authorId="0">
      <text>
        <r>
          <rPr>
            <sz val="10"/>
            <rFont val="宋体"/>
            <charset val="134"/>
          </rPr>
          <t>(including Hong Kong</t>
        </r>
      </text>
    </comment>
    <comment ref="R3" authorId="0">
      <text>
        <r>
          <rPr>
            <sz val="10"/>
            <rFont val="宋体"/>
            <charset val="134"/>
          </rPr>
          <t>(including Hong Kong</t>
        </r>
      </text>
    </comment>
    <comment ref="S3" authorId="0">
      <text>
        <r>
          <rPr>
            <sz val="10"/>
            <rFont val="宋体"/>
            <charset val="134"/>
          </rPr>
          <t>Other Asia Pacific</t>
        </r>
      </text>
    </comment>
    <comment ref="AC3" authorId="0">
      <text>
        <r>
          <rPr>
            <sz val="10"/>
            <rFont val="宋体"/>
            <charset val="134"/>
          </rPr>
          <t>Professional Visualization</t>
        </r>
      </text>
    </comment>
    <comment ref="AD3" authorId="0">
      <text>
        <r>
          <rPr>
            <sz val="10"/>
            <rFont val="宋体"/>
            <charset val="134"/>
          </rPr>
          <t>Automotive</t>
        </r>
      </text>
    </comment>
    <comment ref="AE3" authorId="0">
      <text>
        <r>
          <rPr>
            <sz val="10"/>
            <rFont val="宋体"/>
            <charset val="134"/>
          </rPr>
          <t>OEM and Other
OEM &amp; IP</t>
        </r>
      </text>
    </comment>
    <comment ref="X4" authorId="0">
      <text>
        <r>
          <rPr>
            <sz val="10"/>
            <rFont val="宋体"/>
            <charset val="134"/>
          </rPr>
          <t>AI Clouds, Industrial, &amp; Enterprise</t>
        </r>
      </text>
    </comment>
    <comment ref="AG4" authorId="0">
      <text>
        <r>
          <rPr>
            <sz val="10"/>
            <rFont val="宋体"/>
            <charset val="134"/>
          </rPr>
          <t>Compute &amp; Networking</t>
        </r>
      </text>
    </comment>
    <comment ref="AI4" authorId="0">
      <text>
        <r>
          <rPr>
            <sz val="10"/>
            <rFont val="宋体"/>
            <charset val="134"/>
          </rPr>
          <t>Compute &amp; Networking</t>
        </r>
      </text>
    </comment>
  </commentList>
</comments>
</file>

<file path=xl/sharedStrings.xml><?xml version="1.0" encoding="utf-8"?>
<sst xmlns="http://schemas.openxmlformats.org/spreadsheetml/2006/main" count="1325" uniqueCount="112">
  <si>
    <t>年</t>
  </si>
  <si>
    <t>期</t>
  </si>
  <si>
    <t xml:space="preserve"> </t>
  </si>
  <si>
    <t>Financial Statements (US$M)</t>
  </si>
  <si>
    <t>MKS Revenue by Geography &amp; End Market (US$M)</t>
  </si>
  <si>
    <t>Results of Operations (US$M)</t>
  </si>
  <si>
    <t>Revenue</t>
  </si>
  <si>
    <t>Cost of
revenue</t>
  </si>
  <si>
    <t>Gross
profit</t>
  </si>
  <si>
    <t>R&amp;D</t>
  </si>
  <si>
    <t>SG&amp;A</t>
  </si>
  <si>
    <t>Operating
income</t>
  </si>
  <si>
    <t>Geographic Revenue</t>
  </si>
  <si>
    <t>Revenue by End Market</t>
  </si>
  <si>
    <t>Reportable Segments</t>
  </si>
  <si>
    <t>US</t>
  </si>
  <si>
    <t>China</t>
  </si>
  <si>
    <t>Korea</t>
  </si>
  <si>
    <t>Japan</t>
  </si>
  <si>
    <t>Taiwan</t>
  </si>
  <si>
    <t>Singapore</t>
  </si>
  <si>
    <t>Malaysia</t>
  </si>
  <si>
    <t>Germany</t>
  </si>
  <si>
    <t>Europe</t>
  </si>
  <si>
    <t>Other Asia</t>
  </si>
  <si>
    <t>Other</t>
  </si>
  <si>
    <t>Semiconductor</t>
  </si>
  <si>
    <t>Electronics and Packaging</t>
  </si>
  <si>
    <t>Edge 
Computing</t>
  </si>
  <si>
    <t>Specialty Industrial</t>
  </si>
  <si>
    <t>PV</t>
  </si>
  <si>
    <t>Auto.</t>
  </si>
  <si>
    <t>VSD</t>
  </si>
  <si>
    <t>PSD</t>
  </si>
  <si>
    <t>MSD</t>
  </si>
  <si>
    <t>Hyperscale</t>
  </si>
  <si>
    <t>AI Clouds</t>
  </si>
  <si>
    <t>Compute</t>
  </si>
  <si>
    <t>Networking</t>
  </si>
  <si>
    <t>Com. &amp; Net.</t>
  </si>
  <si>
    <t>Graphics</t>
  </si>
  <si>
    <t>All Other</t>
  </si>
  <si>
    <t>Q1</t>
  </si>
  <si>
    <t>Q2</t>
  </si>
  <si>
    <t>Q3</t>
  </si>
  <si>
    <t>Q4</t>
  </si>
  <si>
    <t>FY</t>
  </si>
  <si>
    <t>项目</t>
  </si>
  <si>
    <t>说明</t>
  </si>
  <si>
    <t>模板</t>
  </si>
  <si>
    <t>直接基于 nvidia-模板.xlsx 的工作表改写，保留横向分组与表头布局</t>
  </si>
  <si>
    <t>单位</t>
  </si>
  <si>
    <t>百万美元；原报表为千美元的期间已换算</t>
  </si>
  <si>
    <t>各指标=FY-Q1-Q2-Q3；FY为财报全年原值</t>
  </si>
  <si>
    <t>2020Q3</t>
  </si>
  <si>
    <t>财务指标取自 mks-2021Q3.xls 的上年同期比较栏</t>
  </si>
  <si>
    <t>地域</t>
  </si>
  <si>
    <t>原分类随年度变化；Korea 与 South Korea 共列，空白表示该分类未披露</t>
  </si>
  <si>
    <t>终端市场</t>
  </si>
  <si>
    <t>Semiconductor / Electronics and Packaging / Specialty Industrial；空白表示未披露</t>
  </si>
  <si>
    <t>业务分部</t>
  </si>
  <si>
    <t>VSD / PSD / MSD；空白表示未披露</t>
  </si>
  <si>
    <t>年份</t>
  </si>
  <si>
    <t>期间</t>
  </si>
  <si>
    <t>维度</t>
  </si>
  <si>
    <t>财报分类</t>
  </si>
  <si>
    <t>金额(百万美元)</t>
  </si>
  <si>
    <t>来源文件</t>
  </si>
  <si>
    <t>United States</t>
  </si>
  <si>
    <t>mks-2016FY.xls</t>
  </si>
  <si>
    <t>Asia (excluding Korea and Japan)</t>
  </si>
  <si>
    <t>mks-2016Q1.xls</t>
  </si>
  <si>
    <t>mks-2017FY.xls</t>
  </si>
  <si>
    <t>South Korea</t>
  </si>
  <si>
    <t>Asia (excluding South Korea and Japan)</t>
  </si>
  <si>
    <t>mks-2017Q1.xls</t>
  </si>
  <si>
    <t>mks-2017Q2.xls</t>
  </si>
  <si>
    <t>mks-2017Q3.xls</t>
  </si>
  <si>
    <t>mks-2018FY.xls</t>
  </si>
  <si>
    <t>mks-2018Q1.xls</t>
  </si>
  <si>
    <t>mks-2018Q2.xls</t>
  </si>
  <si>
    <t>mks-2018Q3.xls</t>
  </si>
  <si>
    <t>mks-2019FY.xls</t>
  </si>
  <si>
    <t>mks-2019Q1.xls</t>
  </si>
  <si>
    <t>mks-2019Q2.xls</t>
  </si>
  <si>
    <t>Other Asia</t>
  </si>
  <si>
    <t>mks-2019Q3.xls</t>
  </si>
  <si>
    <t>mks-2020FY.xls</t>
  </si>
  <si>
    <t>mks-2020Q1.xls</t>
  </si>
  <si>
    <t>mks-2020Q2.xls</t>
  </si>
  <si>
    <t>mks-2021Q1.xls</t>
  </si>
  <si>
    <t>mks-2021Q2.xls</t>
  </si>
  <si>
    <t>mks-2021Q3.xls</t>
  </si>
  <si>
    <t>Vacuum Solutions Division</t>
  </si>
  <si>
    <t>mks-2022FY.xls</t>
  </si>
  <si>
    <t>Photonics Solutions Division</t>
  </si>
  <si>
    <t>Materials Solutions Division</t>
  </si>
  <si>
    <t>mks-2022Q3.xls</t>
  </si>
  <si>
    <t>mks-2023FY.xls</t>
  </si>
  <si>
    <t>mks-2023Q1.xls</t>
  </si>
  <si>
    <t>mks-2023Q2.xls</t>
  </si>
  <si>
    <t>mks-2023Q3.xls</t>
  </si>
  <si>
    <t>mks-2024FY.xls</t>
  </si>
  <si>
    <t>mks-2024Q1.xls</t>
  </si>
  <si>
    <t>mks-2024Q2.xls</t>
  </si>
  <si>
    <t>mks-2024Q3.xls</t>
  </si>
  <si>
    <t>mks-2025FY.xls</t>
  </si>
  <si>
    <t>mks-2025Q1.xls</t>
  </si>
  <si>
    <t>mks-2025Q2.xls</t>
  </si>
  <si>
    <t>mks-2025Q3.xls</t>
  </si>
  <si>
    <t>mks-2026Q1.xls</t>
  </si>
  <si>
    <t>mks-2026Q2.xls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</si>
</sst>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;[Red]\(#,##0.000\);&quot;–&quot;"/>
  </numFmts>
  <fonts count="25">
    <font>
      <sz val="11"/>
      <color theme="1"/>
      <name val="宋体"/>
      <charset val="134"/>
      <scheme val="minor"/>
    </font>
    <font>
      <sz val="11"/>
      <color rgb="FFFFFFFF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4"/>
      <name val="宋体"/>
      <charset val="134"/>
      <scheme val="minor"/>
    </font>
    <font>
      <b/>
      <sz val="11"/>
      <color theme="4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203A5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DE8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rgb="FF333333"/>
      </left>
      <right style="hair">
        <color rgb="FF333333"/>
      </right>
      <top style="hair">
        <color rgb="FF333333"/>
      </top>
      <bottom/>
      <diagonal/>
    </border>
    <border>
      <left style="hair">
        <color rgb="FF333333"/>
      </left>
      <right/>
      <top style="hair">
        <color rgb="FF333333"/>
      </top>
      <bottom/>
      <diagonal/>
    </border>
    <border>
      <left/>
      <right/>
      <top style="hair">
        <color rgb="FF333333"/>
      </top>
      <bottom/>
      <diagonal/>
    </border>
    <border>
      <left/>
      <right style="hair">
        <color rgb="FF333333"/>
      </right>
      <top style="hair">
        <color rgb="FF333333"/>
      </top>
      <bottom/>
      <diagonal/>
    </border>
    <border>
      <left style="hair">
        <color rgb="FF333333"/>
      </left>
      <right style="hair">
        <color rgb="FF333333"/>
      </right>
      <top/>
      <bottom/>
      <diagonal/>
    </border>
    <border>
      <left style="hair">
        <color rgb="FF333333"/>
      </left>
      <right/>
      <top/>
      <bottom/>
      <diagonal/>
    </border>
    <border>
      <left/>
      <right style="hair">
        <color rgb="FF333333"/>
      </right>
      <top/>
      <bottom/>
      <diagonal/>
    </border>
    <border>
      <left style="hair">
        <color rgb="FF333333"/>
      </left>
      <right style="hair">
        <color rgb="FF333333"/>
      </right>
      <top/>
      <bottom style="hair">
        <color rgb="FF333333"/>
      </bottom>
      <diagonal/>
    </border>
    <border>
      <left style="hair">
        <color rgb="FF333333"/>
      </left>
      <right/>
      <top/>
      <bottom style="hair">
        <color rgb="FF333333"/>
      </bottom>
      <diagonal/>
    </border>
    <border>
      <left/>
      <right/>
      <top/>
      <bottom style="hair">
        <color rgb="FF333333"/>
      </bottom>
      <diagonal/>
    </border>
    <border>
      <left/>
      <right style="hair">
        <color rgb="FF333333"/>
      </right>
      <top/>
      <bottom style="hair">
        <color rgb="FF33333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2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4" applyNumberFormat="0" applyFill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26" applyNumberFormat="0" applyAlignment="0" applyProtection="0">
      <alignment vertical="center"/>
    </xf>
    <xf numFmtId="0" fontId="16" fillId="7" borderId="27" applyNumberFormat="0" applyAlignment="0" applyProtection="0">
      <alignment vertical="center"/>
    </xf>
    <xf numFmtId="0" fontId="17" fillId="7" borderId="26" applyNumberFormat="0" applyAlignment="0" applyProtection="0">
      <alignment vertical="center"/>
    </xf>
    <xf numFmtId="0" fontId="18" fillId="8" borderId="28" applyNumberFormat="0" applyAlignment="0" applyProtection="0">
      <alignment vertical="center"/>
    </xf>
    <xf numFmtId="0" fontId="19" fillId="0" borderId="29" applyNumberFormat="0" applyFill="0" applyAlignment="0" applyProtection="0">
      <alignment vertical="center"/>
    </xf>
    <xf numFmtId="0" fontId="2" fillId="0" borderId="30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0" fontId="1" fillId="2" borderId="0" xfId="0" applyNumberFormat="1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0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0" fontId="2" fillId="3" borderId="4" xfId="0" applyNumberFormat="1" applyFont="1" applyFill="1" applyBorder="1" applyAlignment="1">
      <alignment horizontal="center" vertical="center" wrapText="1"/>
    </xf>
    <xf numFmtId="0" fontId="2" fillId="3" borderId="2" xfId="0" applyNumberFormat="1" applyFont="1" applyFill="1" applyBorder="1" applyAlignment="1">
      <alignment horizontal="center" vertical="center" wrapText="1"/>
    </xf>
    <xf numFmtId="0" fontId="2" fillId="3" borderId="9" xfId="0" applyNumberFormat="1" applyFont="1" applyFill="1" applyBorder="1" applyAlignment="1">
      <alignment horizontal="center" vertical="center" wrapText="1"/>
    </xf>
    <xf numFmtId="0" fontId="2" fillId="3" borderId="10" xfId="0" applyNumberFormat="1" applyFont="1" applyFill="1" applyBorder="1" applyAlignment="1">
      <alignment horizontal="center" vertical="center" wrapText="1"/>
    </xf>
    <xf numFmtId="0" fontId="2" fillId="3" borderId="6" xfId="0" applyNumberFormat="1" applyFont="1" applyFill="1" applyBorder="1" applyAlignment="1">
      <alignment horizontal="center" vertical="center" wrapText="1"/>
    </xf>
    <xf numFmtId="0" fontId="2" fillId="3" borderId="7" xfId="0" applyNumberFormat="1" applyFont="1" applyFill="1" applyBorder="1" applyAlignment="1">
      <alignment horizontal="center" vertical="center" wrapText="1"/>
    </xf>
    <xf numFmtId="0" fontId="2" fillId="3" borderId="3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11" xfId="0" applyNumberFormat="1" applyFont="1" applyFill="1" applyBorder="1" applyAlignment="1">
      <alignment horizontal="center" vertical="center" wrapText="1"/>
    </xf>
    <xf numFmtId="0" fontId="2" fillId="3" borderId="12" xfId="0" applyNumberFormat="1" applyFont="1" applyFill="1" applyBorder="1" applyAlignment="1">
      <alignment horizontal="center" vertical="center"/>
    </xf>
    <xf numFmtId="0" fontId="0" fillId="3" borderId="12" xfId="0" applyNumberFormat="1" applyFont="1" applyFill="1" applyBorder="1" applyAlignment="1">
      <alignment horizontal="center" vertical="center"/>
    </xf>
    <xf numFmtId="0" fontId="0" fillId="3" borderId="0" xfId="0" applyNumberFormat="1" applyFont="1" applyFill="1" applyBorder="1" applyAlignment="1">
      <alignment vertical="center"/>
    </xf>
    <xf numFmtId="176" fontId="4" fillId="3" borderId="13" xfId="0" applyNumberFormat="1" applyFont="1" applyFill="1" applyBorder="1" applyAlignment="1">
      <alignment vertical="center"/>
    </xf>
    <xf numFmtId="176" fontId="4" fillId="3" borderId="14" xfId="0" applyNumberFormat="1" applyFont="1" applyFill="1" applyBorder="1" applyAlignment="1">
      <alignment vertical="center"/>
    </xf>
    <xf numFmtId="176" fontId="4" fillId="3" borderId="15" xfId="0" applyNumberFormat="1" applyFont="1" applyFill="1" applyBorder="1" applyAlignment="1">
      <alignment vertical="center"/>
    </xf>
    <xf numFmtId="176" fontId="4" fillId="3" borderId="0" xfId="0" applyNumberFormat="1" applyFont="1" applyFill="1" applyBorder="1" applyAlignment="1">
      <alignment vertical="center"/>
    </xf>
    <xf numFmtId="0" fontId="2" fillId="3" borderId="16" xfId="0" applyNumberFormat="1" applyFont="1" applyFill="1" applyBorder="1" applyAlignment="1">
      <alignment horizontal="center" vertical="center"/>
    </xf>
    <xf numFmtId="0" fontId="0" fillId="3" borderId="16" xfId="0" applyNumberFormat="1" applyFont="1" applyFill="1" applyBorder="1" applyAlignment="1">
      <alignment horizontal="center" vertical="center"/>
    </xf>
    <xf numFmtId="176" fontId="4" fillId="3" borderId="17" xfId="0" applyNumberFormat="1" applyFont="1" applyFill="1" applyBorder="1" applyAlignment="1">
      <alignment vertical="center"/>
    </xf>
    <xf numFmtId="176" fontId="4" fillId="3" borderId="18" xfId="0" applyNumberFormat="1" applyFont="1" applyFill="1" applyBorder="1" applyAlignment="1">
      <alignment vertical="center"/>
    </xf>
    <xf numFmtId="176" fontId="5" fillId="3" borderId="0" xfId="0" applyNumberFormat="1" applyFont="1" applyFill="1" applyBorder="1" applyAlignment="1">
      <alignment vertical="center"/>
    </xf>
    <xf numFmtId="176" fontId="5" fillId="3" borderId="17" xfId="0" applyNumberFormat="1" applyFont="1" applyFill="1" applyBorder="1" applyAlignment="1">
      <alignment vertical="center"/>
    </xf>
    <xf numFmtId="176" fontId="5" fillId="3" borderId="18" xfId="0" applyNumberFormat="1" applyFont="1" applyFill="1" applyBorder="1" applyAlignment="1">
      <alignment vertical="center"/>
    </xf>
    <xf numFmtId="0" fontId="2" fillId="4" borderId="19" xfId="0" applyNumberFormat="1" applyFont="1" applyFill="1" applyBorder="1" applyAlignment="1">
      <alignment horizontal="center" vertical="center"/>
    </xf>
    <xf numFmtId="0" fontId="2" fillId="4" borderId="0" xfId="0" applyNumberFormat="1" applyFont="1" applyFill="1" applyBorder="1" applyAlignment="1">
      <alignment vertical="center"/>
    </xf>
    <xf numFmtId="176" fontId="5" fillId="4" borderId="20" xfId="0" applyNumberFormat="1" applyFont="1" applyFill="1" applyBorder="1" applyAlignment="1">
      <alignment vertical="center"/>
    </xf>
    <xf numFmtId="176" fontId="5" fillId="4" borderId="21" xfId="0" applyNumberFormat="1" applyFont="1" applyFill="1" applyBorder="1" applyAlignment="1">
      <alignment vertical="center"/>
    </xf>
    <xf numFmtId="176" fontId="5" fillId="4" borderId="22" xfId="0" applyNumberFormat="1" applyFont="1" applyFill="1" applyBorder="1" applyAlignment="1">
      <alignment vertical="center"/>
    </xf>
    <xf numFmtId="176" fontId="5" fillId="4" borderId="0" xfId="0" applyNumberFormat="1" applyFont="1" applyFill="1" applyBorder="1" applyAlignment="1">
      <alignment vertical="center"/>
    </xf>
    <xf numFmtId="176" fontId="5" fillId="3" borderId="15" xfId="0" applyNumberFormat="1" applyFont="1" applyFill="1" applyBorder="1" applyAlignment="1">
      <alignment vertical="center"/>
    </xf>
    <xf numFmtId="176" fontId="5" fillId="3" borderId="13" xfId="0" applyNumberFormat="1" applyFont="1" applyFill="1" applyBorder="1" applyAlignment="1">
      <alignment vertical="center"/>
    </xf>
    <xf numFmtId="176" fontId="5" fillId="3" borderId="14" xfId="0" applyNumberFormat="1" applyFont="1" applyFill="1" applyBorder="1" applyAlignment="1">
      <alignment vertical="center"/>
    </xf>
    <xf numFmtId="176" fontId="0" fillId="3" borderId="17" xfId="0" applyNumberFormat="1" applyFont="1" applyFill="1" applyBorder="1" applyAlignment="1">
      <alignment vertical="center"/>
    </xf>
    <xf numFmtId="176" fontId="0" fillId="3" borderId="0" xfId="0" applyNumberFormat="1" applyFont="1" applyFill="1" applyBorder="1" applyAlignment="1">
      <alignment vertical="center"/>
    </xf>
    <xf numFmtId="176" fontId="0" fillId="3" borderId="18" xfId="0" applyNumberFormat="1" applyFont="1" applyFill="1" applyBorder="1" applyAlignment="1">
      <alignment vertical="center"/>
    </xf>
    <xf numFmtId="176" fontId="2" fillId="4" borderId="20" xfId="0" applyNumberFormat="1" applyFont="1" applyFill="1" applyBorder="1" applyAlignment="1">
      <alignment vertical="center"/>
    </xf>
    <xf numFmtId="176" fontId="2" fillId="4" borderId="21" xfId="0" applyNumberFormat="1" applyFont="1" applyFill="1" applyBorder="1" applyAlignment="1">
      <alignment vertical="center"/>
    </xf>
    <xf numFmtId="176" fontId="2" fillId="4" borderId="22" xfId="0" applyNumberFormat="1" applyFont="1" applyFill="1" applyBorder="1" applyAlignment="1">
      <alignment vertical="center"/>
    </xf>
    <xf numFmtId="176" fontId="2" fillId="4" borderId="0" xfId="0" applyNumberFormat="1" applyFont="1" applyFill="1" applyBorder="1" applyAlignment="1">
      <alignment vertical="center"/>
    </xf>
    <xf numFmtId="176" fontId="0" fillId="3" borderId="13" xfId="0" applyNumberFormat="1" applyFont="1" applyFill="1" applyBorder="1" applyAlignment="1">
      <alignment vertical="center"/>
    </xf>
    <xf numFmtId="176" fontId="0" fillId="3" borderId="14" xfId="0" applyNumberFormat="1" applyFont="1" applyFill="1" applyBorder="1" applyAlignment="1">
      <alignment vertical="center"/>
    </xf>
    <xf numFmtId="176" fontId="0" fillId="3" borderId="15" xfId="0" applyNumberFormat="1" applyFont="1" applyFill="1" applyBorder="1" applyAlignment="1">
      <alignment vertical="center"/>
    </xf>
    <xf numFmtId="176" fontId="2" fillId="3" borderId="0" xfId="0" applyNumberFormat="1" applyFont="1" applyFill="1" applyBorder="1" applyAlignment="1">
      <alignment vertical="center"/>
    </xf>
    <xf numFmtId="176" fontId="2" fillId="3" borderId="17" xfId="0" applyNumberFormat="1" applyFont="1" applyFill="1" applyBorder="1" applyAlignment="1">
      <alignment vertical="center"/>
    </xf>
    <xf numFmtId="176" fontId="2" fillId="3" borderId="18" xfId="0" applyNumberFormat="1" applyFont="1" applyFill="1" applyBorder="1" applyAlignment="1">
      <alignment vertical="center"/>
    </xf>
    <xf numFmtId="0" fontId="2" fillId="3" borderId="19" xfId="0" applyNumberFormat="1" applyFont="1" applyFill="1" applyBorder="1" applyAlignment="1">
      <alignment horizontal="center" vertical="center"/>
    </xf>
    <xf numFmtId="0" fontId="0" fillId="3" borderId="19" xfId="0" applyNumberFormat="1" applyFont="1" applyFill="1" applyBorder="1" applyAlignment="1">
      <alignment horizontal="center" vertical="center"/>
    </xf>
    <xf numFmtId="176" fontId="0" fillId="3" borderId="20" xfId="0" applyNumberFormat="1" applyFont="1" applyFill="1" applyBorder="1" applyAlignment="1">
      <alignment vertical="center"/>
    </xf>
    <xf numFmtId="176" fontId="0" fillId="3" borderId="21" xfId="0" applyNumberFormat="1" applyFont="1" applyFill="1" applyBorder="1" applyAlignment="1">
      <alignment vertical="center"/>
    </xf>
    <xf numFmtId="176" fontId="0" fillId="3" borderId="22" xfId="0" applyNumberFormat="1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horizontal="center" vertical="center"/>
    </xf>
    <xf numFmtId="0" fontId="0" fillId="3" borderId="0" xfId="0" applyNumberFormat="1" applyFont="1" applyFill="1" applyBorder="1" applyAlignment="1">
      <alignment horizontal="center" vertical="center"/>
    </xf>
    <xf numFmtId="3" fontId="0" fillId="3" borderId="0" xfId="0" applyNumberFormat="1" applyFont="1" applyFill="1" applyBorder="1" applyAlignment="1">
      <alignment vertical="center"/>
    </xf>
    <xf numFmtId="3" fontId="2" fillId="3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vertical="center"/>
    </xf>
    <xf numFmtId="3" fontId="6" fillId="3" borderId="0" xfId="0" applyNumberFormat="1" applyFont="1" applyFill="1" applyBorder="1" applyAlignment="1">
      <alignment vertical="center"/>
    </xf>
    <xf numFmtId="3" fontId="7" fillId="3" borderId="0" xfId="0" applyNumberFormat="1" applyFont="1" applyFill="1" applyBorder="1" applyAlignment="1">
      <alignment vertical="center"/>
    </xf>
    <xf numFmtId="3" fontId="3" fillId="3" borderId="0" xfId="0" applyNumberFormat="1" applyFont="1" applyFill="1" applyBorder="1" applyAlignment="1">
      <alignment vertical="center"/>
    </xf>
    <xf numFmtId="3" fontId="0" fillId="3" borderId="0" xfId="0" applyNumberFormat="1" applyFont="1" applyFill="1" applyAlignment="1">
      <alignment vertical="center"/>
    </xf>
    <xf numFmtId="0" fontId="2" fillId="3" borderId="0" xfId="0" applyNumberFormat="1" applyFont="1" applyFill="1" applyBorder="1" applyAlignment="1">
      <alignment horizontal="left" vertical="top" wrapText="1"/>
    </xf>
    <xf numFmtId="0" fontId="2" fillId="3" borderId="0" xfId="0" applyNumberFormat="1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89"/>
  <sheetViews>
    <sheetView tabSelected="1" topLeftCell="I1" workbookViewId="0">
      <selection activeCell="AG39" sqref="AG39:AK39"/>
    </sheetView>
  </sheetViews>
  <sheetFormatPr defaultColWidth="9.81818181818182" defaultRowHeight="14"/>
  <cols>
    <col min="1" max="2" width="7" style="3" customWidth="1"/>
    <col min="3" max="3" width="2.1" style="3" customWidth="1"/>
    <col min="4" max="9" width="16" style="3" customWidth="1"/>
    <col min="10" max="10" width="2.1" style="3" customWidth="1"/>
    <col min="11" max="21" width="14" style="3" customWidth="1"/>
    <col min="22" max="31" width="13" style="3" customWidth="1"/>
    <col min="32" max="32" width="2.1" style="3" customWidth="1"/>
    <col min="33" max="37" width="14" style="3" customWidth="1"/>
    <col min="38" max="16384" width="9.97272727272727" style="3"/>
  </cols>
  <sheetData>
    <row r="1" s="2" customFormat="1" spans="1:37">
      <c r="A1" s="4" t="s">
        <v>0</v>
      </c>
      <c r="B1" s="4" t="s">
        <v>1</v>
      </c>
      <c r="C1" s="5" t="s">
        <v>2</v>
      </c>
      <c r="D1" s="6" t="s">
        <v>3</v>
      </c>
      <c r="E1" s="6"/>
      <c r="F1" s="6"/>
      <c r="G1" s="6"/>
      <c r="H1" s="6"/>
      <c r="I1" s="6"/>
      <c r="J1" s="7" t="s">
        <v>2</v>
      </c>
      <c r="K1" s="6" t="s">
        <v>4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7" t="s">
        <v>2</v>
      </c>
      <c r="AG1" s="6" t="s">
        <v>5</v>
      </c>
      <c r="AH1" s="6"/>
      <c r="AI1" s="6"/>
      <c r="AJ1" s="6"/>
      <c r="AK1" s="6"/>
    </row>
    <row r="2" s="2" customFormat="1" ht="14.15" customHeight="1" spans="1:37">
      <c r="A2" s="4"/>
      <c r="B2" s="4"/>
      <c r="C2" s="5"/>
      <c r="D2" s="8" t="s">
        <v>6</v>
      </c>
      <c r="E2" s="9" t="s">
        <v>7</v>
      </c>
      <c r="F2" s="9" t="s">
        <v>8</v>
      </c>
      <c r="G2" s="9" t="s">
        <v>9</v>
      </c>
      <c r="H2" s="9" t="s">
        <v>10</v>
      </c>
      <c r="I2" s="9" t="s">
        <v>11</v>
      </c>
      <c r="J2" s="10"/>
      <c r="K2" s="11" t="s">
        <v>12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2" t="s">
        <v>13</v>
      </c>
      <c r="W2" s="13"/>
      <c r="X2" s="13"/>
      <c r="Y2" s="13"/>
      <c r="Z2" s="13"/>
      <c r="AA2" s="13"/>
      <c r="AB2" s="13"/>
      <c r="AC2" s="13"/>
      <c r="AD2" s="13"/>
      <c r="AE2" s="14"/>
      <c r="AF2" s="10"/>
      <c r="AG2" s="11" t="s">
        <v>14</v>
      </c>
      <c r="AH2" s="11"/>
      <c r="AI2" s="11"/>
      <c r="AJ2" s="11"/>
      <c r="AK2" s="11"/>
    </row>
    <row r="3" s="2" customFormat="1" ht="26" customHeight="1" spans="1:37">
      <c r="A3" s="4"/>
      <c r="B3" s="4"/>
      <c r="C3" s="5"/>
      <c r="D3" s="15"/>
      <c r="E3" s="16"/>
      <c r="F3" s="16"/>
      <c r="G3" s="16"/>
      <c r="H3" s="16"/>
      <c r="I3" s="16"/>
      <c r="J3" s="10"/>
      <c r="K3" s="17" t="s">
        <v>15</v>
      </c>
      <c r="L3" s="17" t="s">
        <v>16</v>
      </c>
      <c r="M3" s="17" t="s">
        <v>17</v>
      </c>
      <c r="N3" s="17" t="s">
        <v>18</v>
      </c>
      <c r="O3" s="17" t="s">
        <v>19</v>
      </c>
      <c r="P3" s="17" t="s">
        <v>20</v>
      </c>
      <c r="Q3" s="17" t="s">
        <v>21</v>
      </c>
      <c r="R3" s="17" t="s">
        <v>22</v>
      </c>
      <c r="S3" s="18" t="s">
        <v>23</v>
      </c>
      <c r="T3" s="18" t="s">
        <v>24</v>
      </c>
      <c r="U3" s="17" t="s">
        <v>25</v>
      </c>
      <c r="V3" s="19" t="s">
        <v>26</v>
      </c>
      <c r="W3" s="20"/>
      <c r="X3" s="20"/>
      <c r="Y3" s="21" t="s">
        <v>27</v>
      </c>
      <c r="Z3" s="22"/>
      <c r="AA3" s="18" t="s">
        <v>28</v>
      </c>
      <c r="AB3" s="18" t="s">
        <v>29</v>
      </c>
      <c r="AC3" s="18" t="s">
        <v>30</v>
      </c>
      <c r="AD3" s="18" t="s">
        <v>31</v>
      </c>
      <c r="AE3" s="18" t="s">
        <v>25</v>
      </c>
      <c r="AF3" s="23"/>
      <c r="AG3" s="17" t="s">
        <v>32</v>
      </c>
      <c r="AH3" s="17"/>
      <c r="AI3" s="17" t="s">
        <v>33</v>
      </c>
      <c r="AJ3" s="17"/>
      <c r="AK3" s="17" t="s">
        <v>34</v>
      </c>
    </row>
    <row r="4" s="2" customFormat="1" ht="26" customHeight="1" spans="1:37">
      <c r="A4" s="24"/>
      <c r="B4" s="24"/>
      <c r="C4" s="5"/>
      <c r="D4" s="25"/>
      <c r="E4" s="25"/>
      <c r="F4" s="26"/>
      <c r="G4" s="26"/>
      <c r="H4" s="26"/>
      <c r="I4" s="26"/>
      <c r="J4" s="27"/>
      <c r="K4" s="17"/>
      <c r="L4" s="17"/>
      <c r="M4" s="17"/>
      <c r="N4" s="17"/>
      <c r="O4" s="17"/>
      <c r="P4" s="17"/>
      <c r="Q4" s="17"/>
      <c r="R4" s="17"/>
      <c r="S4" s="28"/>
      <c r="T4" s="28"/>
      <c r="U4" s="17"/>
      <c r="V4" s="28"/>
      <c r="W4" s="17" t="s">
        <v>35</v>
      </c>
      <c r="X4" s="17" t="s">
        <v>36</v>
      </c>
      <c r="Y4" s="17" t="s">
        <v>37</v>
      </c>
      <c r="Z4" s="17" t="s">
        <v>38</v>
      </c>
      <c r="AA4" s="28"/>
      <c r="AB4" s="28"/>
      <c r="AC4" s="28"/>
      <c r="AD4" s="28"/>
      <c r="AE4" s="28"/>
      <c r="AF4" s="23"/>
      <c r="AG4" s="17" t="s">
        <v>39</v>
      </c>
      <c r="AH4" s="17" t="s">
        <v>40</v>
      </c>
      <c r="AI4" s="17" t="s">
        <v>39</v>
      </c>
      <c r="AJ4" s="17" t="s">
        <v>40</v>
      </c>
      <c r="AK4" s="17" t="s">
        <v>41</v>
      </c>
    </row>
    <row r="5" s="3" customFormat="1" spans="1:37">
      <c r="A5" s="29">
        <v>2016</v>
      </c>
      <c r="B5" s="30" t="s">
        <v>42</v>
      </c>
      <c r="C5" s="31"/>
      <c r="D5" s="32">
        <v>183.681</v>
      </c>
      <c r="E5" s="33">
        <v>105.768</v>
      </c>
      <c r="F5" s="33">
        <v>77.913</v>
      </c>
      <c r="G5" s="33">
        <v>17.227</v>
      </c>
      <c r="H5" s="33">
        <v>33.95</v>
      </c>
      <c r="I5" s="34">
        <v>22.559</v>
      </c>
      <c r="J5" s="35"/>
      <c r="K5" s="32">
        <v>94.218</v>
      </c>
      <c r="L5" s="33"/>
      <c r="M5" s="33">
        <v>20.55</v>
      </c>
      <c r="N5" s="33">
        <v>16.236</v>
      </c>
      <c r="O5" s="33"/>
      <c r="P5" s="33"/>
      <c r="Q5" s="33"/>
      <c r="R5" s="33"/>
      <c r="S5" s="33">
        <v>19.221</v>
      </c>
      <c r="T5" s="33">
        <v>33.456</v>
      </c>
      <c r="U5" s="34"/>
      <c r="V5" s="32"/>
      <c r="W5" s="33"/>
      <c r="X5" s="33"/>
      <c r="Y5" s="33"/>
      <c r="Z5" s="33"/>
      <c r="AA5" s="33"/>
      <c r="AB5" s="33"/>
      <c r="AC5" s="33"/>
      <c r="AD5" s="33"/>
      <c r="AE5" s="34"/>
      <c r="AF5" s="35"/>
      <c r="AG5" s="32"/>
      <c r="AH5" s="33"/>
      <c r="AI5" s="33"/>
      <c r="AJ5" s="33"/>
      <c r="AK5" s="34"/>
    </row>
    <row r="6" s="3" customFormat="1" spans="1:37">
      <c r="A6" s="36">
        <v>2016</v>
      </c>
      <c r="B6" s="37" t="s">
        <v>43</v>
      </c>
      <c r="C6" s="31"/>
      <c r="D6" s="38">
        <v>325.861</v>
      </c>
      <c r="E6" s="35">
        <v>189.948</v>
      </c>
      <c r="F6" s="35">
        <v>135.913</v>
      </c>
      <c r="G6" s="35">
        <v>28.214</v>
      </c>
      <c r="H6" s="35">
        <v>71.429</v>
      </c>
      <c r="I6" s="39">
        <v>19.186</v>
      </c>
      <c r="J6" s="35"/>
      <c r="K6" s="38"/>
      <c r="L6" s="35"/>
      <c r="M6" s="35"/>
      <c r="N6" s="35"/>
      <c r="O6" s="35"/>
      <c r="P6" s="35"/>
      <c r="Q6" s="35"/>
      <c r="R6" s="35"/>
      <c r="S6" s="35"/>
      <c r="T6" s="35"/>
      <c r="U6" s="39"/>
      <c r="V6" s="38"/>
      <c r="W6" s="35"/>
      <c r="X6" s="35"/>
      <c r="Y6" s="35"/>
      <c r="Z6" s="35"/>
      <c r="AA6" s="35"/>
      <c r="AB6" s="35"/>
      <c r="AC6" s="35"/>
      <c r="AD6" s="35"/>
      <c r="AE6" s="39"/>
      <c r="AF6" s="35"/>
      <c r="AG6" s="38"/>
      <c r="AH6" s="35"/>
      <c r="AI6" s="35"/>
      <c r="AJ6" s="35"/>
      <c r="AK6" s="39"/>
    </row>
    <row r="7" s="3" customFormat="1" spans="1:37">
      <c r="A7" s="36">
        <v>2016</v>
      </c>
      <c r="B7" s="37" t="s">
        <v>44</v>
      </c>
      <c r="C7" s="31"/>
      <c r="D7" s="38">
        <v>380.66</v>
      </c>
      <c r="E7" s="35">
        <v>212.275</v>
      </c>
      <c r="F7" s="35">
        <v>168.385</v>
      </c>
      <c r="G7" s="35">
        <v>32.268</v>
      </c>
      <c r="H7" s="35">
        <v>70.424</v>
      </c>
      <c r="I7" s="39">
        <v>53.008</v>
      </c>
      <c r="J7" s="35"/>
      <c r="K7" s="38"/>
      <c r="L7" s="35"/>
      <c r="M7" s="35"/>
      <c r="N7" s="35"/>
      <c r="O7" s="35"/>
      <c r="P7" s="35"/>
      <c r="Q7" s="35"/>
      <c r="R7" s="35"/>
      <c r="S7" s="35"/>
      <c r="T7" s="35"/>
      <c r="U7" s="39"/>
      <c r="V7" s="38"/>
      <c r="W7" s="35"/>
      <c r="X7" s="35"/>
      <c r="Y7" s="35"/>
      <c r="Z7" s="35"/>
      <c r="AA7" s="35"/>
      <c r="AB7" s="35"/>
      <c r="AC7" s="35"/>
      <c r="AD7" s="35"/>
      <c r="AE7" s="39"/>
      <c r="AF7" s="35"/>
      <c r="AG7" s="38"/>
      <c r="AH7" s="35"/>
      <c r="AI7" s="35"/>
      <c r="AJ7" s="35"/>
      <c r="AK7" s="39"/>
    </row>
    <row r="8" s="3" customFormat="1" spans="1:37">
      <c r="A8" s="36">
        <v>2016</v>
      </c>
      <c r="B8" s="37" t="s">
        <v>45</v>
      </c>
      <c r="C8" s="31"/>
      <c r="D8" s="38">
        <f t="shared" ref="D8:I8" si="0">D9-D5-D6-D7</f>
        <v>405.14</v>
      </c>
      <c r="E8" s="35">
        <f t="shared" si="0"/>
        <v>221.732</v>
      </c>
      <c r="F8" s="35">
        <f t="shared" si="0"/>
        <v>183.408</v>
      </c>
      <c r="G8" s="35">
        <f t="shared" si="0"/>
        <v>32.87</v>
      </c>
      <c r="H8" s="35">
        <f t="shared" si="0"/>
        <v>53.368</v>
      </c>
      <c r="I8" s="39">
        <f t="shared" si="0"/>
        <v>62.514</v>
      </c>
      <c r="J8" s="40"/>
      <c r="K8" s="41"/>
      <c r="L8" s="40"/>
      <c r="M8" s="40"/>
      <c r="N8" s="40"/>
      <c r="O8" s="40"/>
      <c r="P8" s="40"/>
      <c r="Q8" s="40"/>
      <c r="R8" s="40"/>
      <c r="S8" s="40"/>
      <c r="T8" s="40"/>
      <c r="U8" s="42"/>
      <c r="V8" s="41"/>
      <c r="W8" s="40"/>
      <c r="X8" s="40"/>
      <c r="Y8" s="40"/>
      <c r="Z8" s="40"/>
      <c r="AA8" s="40"/>
      <c r="AB8" s="40"/>
      <c r="AC8" s="40"/>
      <c r="AD8" s="40"/>
      <c r="AE8" s="42"/>
      <c r="AF8" s="40"/>
      <c r="AG8" s="41"/>
      <c r="AH8" s="40"/>
      <c r="AI8" s="40"/>
      <c r="AJ8" s="40"/>
      <c r="AK8" s="42"/>
    </row>
    <row r="9" s="3" customFormat="1" spans="1:37">
      <c r="A9" s="43">
        <v>2016</v>
      </c>
      <c r="B9" s="43" t="s">
        <v>46</v>
      </c>
      <c r="C9" s="44"/>
      <c r="D9" s="45">
        <v>1295.342</v>
      </c>
      <c r="E9" s="46">
        <v>729.723</v>
      </c>
      <c r="F9" s="46">
        <v>565.619</v>
      </c>
      <c r="G9" s="46">
        <v>110.579</v>
      </c>
      <c r="H9" s="46">
        <v>229.171</v>
      </c>
      <c r="I9" s="47">
        <v>157.267</v>
      </c>
      <c r="J9" s="48"/>
      <c r="K9" s="45">
        <v>675.601</v>
      </c>
      <c r="L9" s="46"/>
      <c r="M9" s="46">
        <v>112.432</v>
      </c>
      <c r="N9" s="46">
        <v>96.954</v>
      </c>
      <c r="O9" s="46"/>
      <c r="P9" s="46"/>
      <c r="Q9" s="46"/>
      <c r="R9" s="46"/>
      <c r="S9" s="46">
        <v>156.365</v>
      </c>
      <c r="T9" s="46">
        <v>253.99</v>
      </c>
      <c r="U9" s="47"/>
      <c r="V9" s="45"/>
      <c r="W9" s="46"/>
      <c r="X9" s="46"/>
      <c r="Y9" s="46"/>
      <c r="Z9" s="46"/>
      <c r="AA9" s="46"/>
      <c r="AB9" s="46"/>
      <c r="AC9" s="46"/>
      <c r="AD9" s="46"/>
      <c r="AE9" s="47"/>
      <c r="AF9" s="48"/>
      <c r="AG9" s="45"/>
      <c r="AH9" s="46"/>
      <c r="AI9" s="46"/>
      <c r="AJ9" s="46"/>
      <c r="AK9" s="47"/>
    </row>
    <row r="10" s="3" customFormat="1" spans="1:37">
      <c r="A10" s="29">
        <v>2017</v>
      </c>
      <c r="B10" s="30" t="s">
        <v>42</v>
      </c>
      <c r="C10" s="31"/>
      <c r="D10" s="32">
        <v>437.153</v>
      </c>
      <c r="E10" s="33">
        <v>231.606</v>
      </c>
      <c r="F10" s="33">
        <v>205.547</v>
      </c>
      <c r="G10" s="33">
        <v>33.282</v>
      </c>
      <c r="H10" s="33">
        <v>74.22</v>
      </c>
      <c r="I10" s="34">
        <v>83.58</v>
      </c>
      <c r="J10" s="35"/>
      <c r="K10" s="32">
        <v>218.05</v>
      </c>
      <c r="L10" s="33"/>
      <c r="M10" s="33">
        <v>44.878</v>
      </c>
      <c r="N10" s="33">
        <v>37.792</v>
      </c>
      <c r="O10" s="33"/>
      <c r="P10" s="33"/>
      <c r="Q10" s="33"/>
      <c r="R10" s="33"/>
      <c r="S10" s="33">
        <v>48.19</v>
      </c>
      <c r="T10" s="33">
        <v>88.243</v>
      </c>
      <c r="U10" s="34"/>
      <c r="V10" s="32"/>
      <c r="W10" s="33"/>
      <c r="X10" s="33"/>
      <c r="Y10" s="33"/>
      <c r="Z10" s="33"/>
      <c r="AA10" s="33"/>
      <c r="AB10" s="33"/>
      <c r="AC10" s="33"/>
      <c r="AD10" s="33"/>
      <c r="AE10" s="34"/>
      <c r="AF10" s="35"/>
      <c r="AG10" s="32"/>
      <c r="AH10" s="33"/>
      <c r="AI10" s="33"/>
      <c r="AJ10" s="33"/>
      <c r="AK10" s="34"/>
    </row>
    <row r="11" s="3" customFormat="1" spans="1:37">
      <c r="A11" s="36">
        <v>2017</v>
      </c>
      <c r="B11" s="37" t="s">
        <v>43</v>
      </c>
      <c r="C11" s="31"/>
      <c r="D11" s="38">
        <v>480.757</v>
      </c>
      <c r="E11" s="35">
        <v>261.174</v>
      </c>
      <c r="F11" s="35">
        <v>219.583</v>
      </c>
      <c r="G11" s="35">
        <v>33.68</v>
      </c>
      <c r="H11" s="35">
        <v>71.979</v>
      </c>
      <c r="I11" s="39">
        <v>92.883</v>
      </c>
      <c r="J11" s="35"/>
      <c r="K11" s="38">
        <v>244.649</v>
      </c>
      <c r="L11" s="35"/>
      <c r="M11" s="35">
        <v>59.827</v>
      </c>
      <c r="N11" s="35">
        <v>36.865</v>
      </c>
      <c r="O11" s="35"/>
      <c r="P11" s="35"/>
      <c r="Q11" s="35"/>
      <c r="R11" s="35"/>
      <c r="S11" s="35">
        <v>47.786</v>
      </c>
      <c r="T11" s="35">
        <v>91.63</v>
      </c>
      <c r="U11" s="39"/>
      <c r="V11" s="38"/>
      <c r="W11" s="35"/>
      <c r="X11" s="35"/>
      <c r="Y11" s="35"/>
      <c r="Z11" s="35"/>
      <c r="AA11" s="35"/>
      <c r="AB11" s="35"/>
      <c r="AC11" s="35"/>
      <c r="AD11" s="35"/>
      <c r="AE11" s="39"/>
      <c r="AF11" s="35"/>
      <c r="AG11" s="38"/>
      <c r="AH11" s="35"/>
      <c r="AI11" s="35"/>
      <c r="AJ11" s="35"/>
      <c r="AK11" s="39"/>
    </row>
    <row r="12" s="3" customFormat="1" spans="1:37">
      <c r="A12" s="36">
        <v>2017</v>
      </c>
      <c r="B12" s="37" t="s">
        <v>44</v>
      </c>
      <c r="C12" s="31"/>
      <c r="D12" s="38">
        <v>486.267</v>
      </c>
      <c r="E12" s="35">
        <v>258.272</v>
      </c>
      <c r="F12" s="35">
        <v>227.995</v>
      </c>
      <c r="G12" s="35">
        <v>32.548</v>
      </c>
      <c r="H12" s="35">
        <v>71.839</v>
      </c>
      <c r="I12" s="39">
        <v>110.155</v>
      </c>
      <c r="J12" s="35"/>
      <c r="K12" s="38">
        <v>237.592</v>
      </c>
      <c r="L12" s="35"/>
      <c r="M12" s="35">
        <v>60.908</v>
      </c>
      <c r="N12" s="35">
        <v>38.411</v>
      </c>
      <c r="O12" s="35"/>
      <c r="P12" s="35"/>
      <c r="Q12" s="35"/>
      <c r="R12" s="35"/>
      <c r="S12" s="35">
        <v>55.272</v>
      </c>
      <c r="T12" s="35">
        <v>94.084</v>
      </c>
      <c r="U12" s="42"/>
      <c r="V12" s="41"/>
      <c r="W12" s="40"/>
      <c r="X12" s="40"/>
      <c r="Y12" s="40"/>
      <c r="Z12" s="40"/>
      <c r="AA12" s="40"/>
      <c r="AB12" s="40"/>
      <c r="AC12" s="40"/>
      <c r="AD12" s="40"/>
      <c r="AE12" s="42"/>
      <c r="AF12" s="40"/>
      <c r="AG12" s="41"/>
      <c r="AH12" s="40"/>
      <c r="AI12" s="40"/>
      <c r="AJ12" s="40"/>
      <c r="AK12" s="42"/>
    </row>
    <row r="13" s="3" customFormat="1" spans="1:37">
      <c r="A13" s="36">
        <v>2017</v>
      </c>
      <c r="B13" s="37" t="s">
        <v>45</v>
      </c>
      <c r="C13" s="31"/>
      <c r="D13" s="38">
        <f t="shared" ref="D13:I13" si="1">D14-D10-D11-D12</f>
        <v>511.8</v>
      </c>
      <c r="E13" s="35">
        <f t="shared" si="1"/>
        <v>273.474</v>
      </c>
      <c r="F13" s="35">
        <f t="shared" si="1"/>
        <v>238.326</v>
      </c>
      <c r="G13" s="35">
        <f t="shared" si="1"/>
        <v>33.045</v>
      </c>
      <c r="H13" s="35">
        <f t="shared" si="1"/>
        <v>72.51</v>
      </c>
      <c r="I13" s="39">
        <f t="shared" si="1"/>
        <v>120.016</v>
      </c>
      <c r="J13" s="35"/>
      <c r="K13" s="38">
        <f>K14-K10-K11-K12</f>
        <v>254.993</v>
      </c>
      <c r="L13" s="35"/>
      <c r="M13" s="35">
        <f>M14-M10-M11-M12</f>
        <v>47.15</v>
      </c>
      <c r="N13" s="35">
        <f>N14-N10-N11-N12</f>
        <v>54.25</v>
      </c>
      <c r="O13" s="35"/>
      <c r="P13" s="35"/>
      <c r="Q13" s="35"/>
      <c r="R13" s="35"/>
      <c r="S13" s="35">
        <f>S14-S10-S11-S12</f>
        <v>58.664</v>
      </c>
      <c r="T13" s="35"/>
      <c r="U13" s="39"/>
      <c r="V13" s="38"/>
      <c r="W13" s="35"/>
      <c r="X13" s="35"/>
      <c r="Y13" s="35"/>
      <c r="Z13" s="35"/>
      <c r="AA13" s="35"/>
      <c r="AB13" s="35"/>
      <c r="AC13" s="35"/>
      <c r="AD13" s="35"/>
      <c r="AE13" s="39"/>
      <c r="AF13" s="35"/>
      <c r="AG13" s="38"/>
      <c r="AH13" s="35"/>
      <c r="AI13" s="35"/>
      <c r="AJ13" s="35"/>
      <c r="AK13" s="39"/>
    </row>
    <row r="14" s="3" customFormat="1" spans="1:37">
      <c r="A14" s="43">
        <v>2017</v>
      </c>
      <c r="B14" s="43" t="s">
        <v>46</v>
      </c>
      <c r="C14" s="44"/>
      <c r="D14" s="45">
        <v>1915.977</v>
      </c>
      <c r="E14" s="46">
        <v>1024.526</v>
      </c>
      <c r="F14" s="46">
        <v>891.451</v>
      </c>
      <c r="G14" s="46">
        <v>132.555</v>
      </c>
      <c r="H14" s="46">
        <v>290.548</v>
      </c>
      <c r="I14" s="47">
        <v>406.634</v>
      </c>
      <c r="J14" s="48"/>
      <c r="K14" s="45">
        <v>955.284</v>
      </c>
      <c r="L14" s="46"/>
      <c r="M14" s="46">
        <v>212.763</v>
      </c>
      <c r="N14" s="46">
        <v>167.318</v>
      </c>
      <c r="O14" s="46"/>
      <c r="P14" s="46"/>
      <c r="Q14" s="46"/>
      <c r="R14" s="46"/>
      <c r="S14" s="46">
        <v>209.912</v>
      </c>
      <c r="T14" s="46"/>
      <c r="U14" s="47"/>
      <c r="V14" s="45"/>
      <c r="W14" s="46"/>
      <c r="X14" s="46"/>
      <c r="Y14" s="46"/>
      <c r="Z14" s="46"/>
      <c r="AA14" s="46"/>
      <c r="AB14" s="46"/>
      <c r="AC14" s="46"/>
      <c r="AD14" s="46"/>
      <c r="AE14" s="47"/>
      <c r="AF14" s="48"/>
      <c r="AG14" s="45"/>
      <c r="AH14" s="46"/>
      <c r="AI14" s="46"/>
      <c r="AJ14" s="46"/>
      <c r="AK14" s="47"/>
    </row>
    <row r="15" s="3" customFormat="1" spans="1:37">
      <c r="A15" s="29">
        <v>2018</v>
      </c>
      <c r="B15" s="30" t="s">
        <v>42</v>
      </c>
      <c r="C15" s="31"/>
      <c r="D15" s="32">
        <v>554.275</v>
      </c>
      <c r="E15" s="33">
        <v>291.42</v>
      </c>
      <c r="F15" s="33">
        <v>262.855</v>
      </c>
      <c r="G15" s="33">
        <v>34.857</v>
      </c>
      <c r="H15" s="33">
        <v>82.949</v>
      </c>
      <c r="I15" s="34">
        <v>131.639</v>
      </c>
      <c r="J15" s="35"/>
      <c r="K15" s="32">
        <v>276.72</v>
      </c>
      <c r="L15" s="33"/>
      <c r="M15" s="33">
        <v>54.011</v>
      </c>
      <c r="N15" s="33">
        <v>58.274</v>
      </c>
      <c r="O15" s="33"/>
      <c r="P15" s="33"/>
      <c r="Q15" s="33"/>
      <c r="R15" s="33"/>
      <c r="S15" s="33">
        <v>63.886</v>
      </c>
      <c r="T15" s="33">
        <v>101.384</v>
      </c>
      <c r="U15" s="34"/>
      <c r="V15" s="32"/>
      <c r="W15" s="33"/>
      <c r="X15" s="33"/>
      <c r="Y15" s="33"/>
      <c r="Z15" s="33"/>
      <c r="AA15" s="33"/>
      <c r="AB15" s="33"/>
      <c r="AC15" s="33"/>
      <c r="AD15" s="33"/>
      <c r="AE15" s="34"/>
      <c r="AF15" s="35"/>
      <c r="AG15" s="32"/>
      <c r="AH15" s="33"/>
      <c r="AI15" s="33"/>
      <c r="AJ15" s="33"/>
      <c r="AK15" s="34"/>
    </row>
    <row r="16" s="3" customFormat="1" spans="1:37">
      <c r="A16" s="36">
        <v>2018</v>
      </c>
      <c r="B16" s="37" t="s">
        <v>43</v>
      </c>
      <c r="C16" s="31"/>
      <c r="D16" s="38">
        <v>573.14</v>
      </c>
      <c r="E16" s="35">
        <v>298.263</v>
      </c>
      <c r="F16" s="35">
        <v>274.877</v>
      </c>
      <c r="G16" s="35">
        <v>36.504</v>
      </c>
      <c r="H16" s="35">
        <v>76.559</v>
      </c>
      <c r="I16" s="39">
        <v>151.291</v>
      </c>
      <c r="J16" s="35"/>
      <c r="K16" s="38">
        <v>281.818</v>
      </c>
      <c r="L16" s="35"/>
      <c r="M16" s="35">
        <v>66.983</v>
      </c>
      <c r="N16" s="35">
        <v>54.087</v>
      </c>
      <c r="O16" s="35"/>
      <c r="P16" s="35"/>
      <c r="Q16" s="35"/>
      <c r="R16" s="35"/>
      <c r="S16" s="35">
        <v>63.059</v>
      </c>
      <c r="T16" s="35">
        <v>107.193</v>
      </c>
      <c r="U16" s="42"/>
      <c r="V16" s="41"/>
      <c r="W16" s="40"/>
      <c r="X16" s="40"/>
      <c r="Y16" s="40"/>
      <c r="Z16" s="40"/>
      <c r="AA16" s="40"/>
      <c r="AB16" s="40"/>
      <c r="AC16" s="40"/>
      <c r="AD16" s="40"/>
      <c r="AE16" s="42"/>
      <c r="AF16" s="40"/>
      <c r="AG16" s="41"/>
      <c r="AH16" s="40"/>
      <c r="AI16" s="40"/>
      <c r="AJ16" s="40"/>
      <c r="AK16" s="42"/>
    </row>
    <row r="17" s="3" customFormat="1" spans="1:37">
      <c r="A17" s="36">
        <v>2018</v>
      </c>
      <c r="B17" s="37" t="s">
        <v>44</v>
      </c>
      <c r="C17" s="31"/>
      <c r="D17" s="38">
        <v>487.152</v>
      </c>
      <c r="E17" s="35">
        <v>255.292</v>
      </c>
      <c r="F17" s="35">
        <v>231.86</v>
      </c>
      <c r="G17" s="35">
        <v>31.898</v>
      </c>
      <c r="H17" s="35">
        <v>70.822</v>
      </c>
      <c r="I17" s="39">
        <v>117.045</v>
      </c>
      <c r="J17" s="35"/>
      <c r="K17" s="38">
        <v>243.273</v>
      </c>
      <c r="L17" s="35"/>
      <c r="M17" s="35">
        <v>43.468</v>
      </c>
      <c r="N17" s="35">
        <v>38.964</v>
      </c>
      <c r="O17" s="35"/>
      <c r="P17" s="35"/>
      <c r="Q17" s="35"/>
      <c r="R17" s="35"/>
      <c r="S17" s="35">
        <v>56.111</v>
      </c>
      <c r="T17" s="35">
        <v>105.336</v>
      </c>
      <c r="U17" s="39"/>
      <c r="V17" s="38"/>
      <c r="W17" s="35"/>
      <c r="X17" s="35"/>
      <c r="Y17" s="35"/>
      <c r="Z17" s="35"/>
      <c r="AA17" s="35"/>
      <c r="AB17" s="35"/>
      <c r="AC17" s="35"/>
      <c r="AD17" s="35"/>
      <c r="AE17" s="39"/>
      <c r="AF17" s="35"/>
      <c r="AG17" s="38"/>
      <c r="AH17" s="35"/>
      <c r="AI17" s="35"/>
      <c r="AJ17" s="35"/>
      <c r="AK17" s="39"/>
    </row>
    <row r="18" s="3" customFormat="1" spans="1:37">
      <c r="A18" s="36">
        <v>2018</v>
      </c>
      <c r="B18" s="37" t="s">
        <v>45</v>
      </c>
      <c r="C18" s="31"/>
      <c r="D18" s="38">
        <f t="shared" ref="D18:I18" si="2">D19-D15-D16-D17</f>
        <v>460.541</v>
      </c>
      <c r="E18" s="35">
        <f t="shared" si="2"/>
        <v>250.657</v>
      </c>
      <c r="F18" s="35">
        <f t="shared" si="2"/>
        <v>209.884</v>
      </c>
      <c r="G18" s="35">
        <f t="shared" si="2"/>
        <v>32.461</v>
      </c>
      <c r="H18" s="35">
        <f t="shared" si="2"/>
        <v>67.788</v>
      </c>
      <c r="I18" s="39">
        <f t="shared" si="2"/>
        <v>94.084</v>
      </c>
      <c r="J18" s="35"/>
      <c r="K18" s="38">
        <f>K19-K15-K16-K17</f>
        <v>220.849</v>
      </c>
      <c r="L18" s="35"/>
      <c r="M18" s="35">
        <f>M19-M15-M16-M17</f>
        <v>39.105</v>
      </c>
      <c r="N18" s="35">
        <f>N19-N15-N16-N17</f>
        <v>41.939</v>
      </c>
      <c r="O18" s="35"/>
      <c r="P18" s="35"/>
      <c r="Q18" s="35"/>
      <c r="R18" s="35"/>
      <c r="S18" s="35">
        <f>S19-S15-S16-S17</f>
        <v>60.953</v>
      </c>
      <c r="T18" s="35"/>
      <c r="U18" s="39"/>
      <c r="V18" s="38"/>
      <c r="W18" s="35"/>
      <c r="X18" s="35"/>
      <c r="Y18" s="35"/>
      <c r="Z18" s="35"/>
      <c r="AA18" s="35"/>
      <c r="AB18" s="35"/>
      <c r="AC18" s="35"/>
      <c r="AD18" s="35"/>
      <c r="AE18" s="39"/>
      <c r="AF18" s="35"/>
      <c r="AG18" s="38"/>
      <c r="AH18" s="35"/>
      <c r="AI18" s="35"/>
      <c r="AJ18" s="35"/>
      <c r="AK18" s="39"/>
    </row>
    <row r="19" s="3" customFormat="1" spans="1:37">
      <c r="A19" s="43">
        <v>2018</v>
      </c>
      <c r="B19" s="43" t="s">
        <v>46</v>
      </c>
      <c r="C19" s="44"/>
      <c r="D19" s="45">
        <v>2075.108</v>
      </c>
      <c r="E19" s="46">
        <v>1095.632</v>
      </c>
      <c r="F19" s="46">
        <v>979.476</v>
      </c>
      <c r="G19" s="46">
        <v>135.72</v>
      </c>
      <c r="H19" s="46">
        <v>298.118</v>
      </c>
      <c r="I19" s="47">
        <v>494.059</v>
      </c>
      <c r="J19" s="48"/>
      <c r="K19" s="45">
        <v>1022.66</v>
      </c>
      <c r="L19" s="46"/>
      <c r="M19" s="46">
        <v>203.567</v>
      </c>
      <c r="N19" s="46">
        <v>193.264</v>
      </c>
      <c r="O19" s="46"/>
      <c r="P19" s="46"/>
      <c r="Q19" s="46"/>
      <c r="R19" s="46"/>
      <c r="S19" s="46">
        <v>244.009</v>
      </c>
      <c r="T19" s="46"/>
      <c r="U19" s="47"/>
      <c r="V19" s="45"/>
      <c r="W19" s="46"/>
      <c r="X19" s="46"/>
      <c r="Y19" s="46"/>
      <c r="Z19" s="46"/>
      <c r="AA19" s="46"/>
      <c r="AB19" s="46"/>
      <c r="AC19" s="46"/>
      <c r="AD19" s="46"/>
      <c r="AE19" s="47"/>
      <c r="AF19" s="48"/>
      <c r="AG19" s="45"/>
      <c r="AH19" s="46"/>
      <c r="AI19" s="46"/>
      <c r="AJ19" s="46"/>
      <c r="AK19" s="47"/>
    </row>
    <row r="20" s="3" customFormat="1" spans="1:37">
      <c r="A20" s="29">
        <v>2019</v>
      </c>
      <c r="B20" s="30" t="s">
        <v>42</v>
      </c>
      <c r="C20" s="31"/>
      <c r="D20" s="32">
        <v>463.561</v>
      </c>
      <c r="E20" s="33">
        <v>265.443</v>
      </c>
      <c r="F20" s="33">
        <v>198.118</v>
      </c>
      <c r="G20" s="33">
        <v>38.933</v>
      </c>
      <c r="H20" s="33">
        <v>82.455</v>
      </c>
      <c r="I20" s="34">
        <v>23.066</v>
      </c>
      <c r="J20" s="35"/>
      <c r="K20" s="32">
        <v>224.347</v>
      </c>
      <c r="L20" s="33"/>
      <c r="M20" s="33">
        <v>35.802</v>
      </c>
      <c r="N20" s="33">
        <v>42.102</v>
      </c>
      <c r="O20" s="33"/>
      <c r="P20" s="33"/>
      <c r="Q20" s="33"/>
      <c r="R20" s="33"/>
      <c r="S20" s="33">
        <v>59.983</v>
      </c>
      <c r="T20" s="33">
        <v>101.327</v>
      </c>
      <c r="U20" s="49"/>
      <c r="V20" s="50"/>
      <c r="W20" s="51"/>
      <c r="X20" s="51"/>
      <c r="Y20" s="51"/>
      <c r="Z20" s="51"/>
      <c r="AA20" s="51"/>
      <c r="AB20" s="51"/>
      <c r="AC20" s="51"/>
      <c r="AD20" s="51"/>
      <c r="AE20" s="49"/>
      <c r="AF20" s="40"/>
      <c r="AG20" s="50"/>
      <c r="AH20" s="51"/>
      <c r="AI20" s="51"/>
      <c r="AJ20" s="51"/>
      <c r="AK20" s="49"/>
    </row>
    <row r="21" s="3" customFormat="1" spans="1:37">
      <c r="A21" s="36">
        <v>2019</v>
      </c>
      <c r="B21" s="37" t="s">
        <v>43</v>
      </c>
      <c r="C21" s="31"/>
      <c r="D21" s="38">
        <v>474.11</v>
      </c>
      <c r="E21" s="35">
        <v>263.083</v>
      </c>
      <c r="F21" s="35">
        <v>211.027</v>
      </c>
      <c r="G21" s="35">
        <v>41.855</v>
      </c>
      <c r="H21" s="35">
        <v>83.236</v>
      </c>
      <c r="I21" s="39">
        <v>63.902</v>
      </c>
      <c r="J21" s="35"/>
      <c r="K21" s="38">
        <v>217.549</v>
      </c>
      <c r="L21" s="35">
        <v>56.002</v>
      </c>
      <c r="M21" s="35">
        <v>38.896</v>
      </c>
      <c r="N21" s="35">
        <v>30.995</v>
      </c>
      <c r="O21" s="35"/>
      <c r="P21" s="35"/>
      <c r="Q21" s="35"/>
      <c r="R21" s="35"/>
      <c r="S21" s="35">
        <v>58.242</v>
      </c>
      <c r="T21" s="35"/>
      <c r="U21" s="39"/>
      <c r="V21" s="38"/>
      <c r="W21" s="35"/>
      <c r="X21" s="35"/>
      <c r="Y21" s="35"/>
      <c r="Z21" s="35"/>
      <c r="AA21" s="35"/>
      <c r="AB21" s="35"/>
      <c r="AC21" s="35"/>
      <c r="AD21" s="35"/>
      <c r="AE21" s="39"/>
      <c r="AF21" s="35"/>
      <c r="AG21" s="38"/>
      <c r="AH21" s="35"/>
      <c r="AI21" s="35"/>
      <c r="AJ21" s="35"/>
      <c r="AK21" s="39"/>
    </row>
    <row r="22" s="3" customFormat="1" spans="1:37">
      <c r="A22" s="36">
        <v>2019</v>
      </c>
      <c r="B22" s="37" t="s">
        <v>44</v>
      </c>
      <c r="C22" s="31"/>
      <c r="D22" s="38">
        <v>462.451</v>
      </c>
      <c r="E22" s="35">
        <v>257.447</v>
      </c>
      <c r="F22" s="35">
        <v>205.004</v>
      </c>
      <c r="G22" s="35">
        <v>41.566</v>
      </c>
      <c r="H22" s="35">
        <v>82.101</v>
      </c>
      <c r="I22" s="39">
        <v>66.82</v>
      </c>
      <c r="J22" s="35"/>
      <c r="K22" s="38">
        <v>211.116</v>
      </c>
      <c r="L22" s="35">
        <v>46.679</v>
      </c>
      <c r="M22" s="35">
        <v>41.313</v>
      </c>
      <c r="N22" s="35">
        <v>32.388</v>
      </c>
      <c r="O22" s="35"/>
      <c r="P22" s="35"/>
      <c r="Q22" s="35"/>
      <c r="R22" s="35"/>
      <c r="S22" s="35">
        <v>53.595</v>
      </c>
      <c r="T22" s="35"/>
      <c r="U22" s="39"/>
      <c r="V22" s="38"/>
      <c r="W22" s="35"/>
      <c r="X22" s="35"/>
      <c r="Y22" s="35"/>
      <c r="Z22" s="35"/>
      <c r="AA22" s="35"/>
      <c r="AB22" s="35"/>
      <c r="AC22" s="35"/>
      <c r="AD22" s="35"/>
      <c r="AE22" s="39"/>
      <c r="AF22" s="35"/>
      <c r="AG22" s="38"/>
      <c r="AH22" s="35"/>
      <c r="AI22" s="35"/>
      <c r="AJ22" s="35"/>
      <c r="AK22" s="39"/>
    </row>
    <row r="23" s="3" customFormat="1" spans="1:37">
      <c r="A23" s="36">
        <v>2019</v>
      </c>
      <c r="B23" s="37" t="s">
        <v>45</v>
      </c>
      <c r="C23" s="31"/>
      <c r="D23" s="38">
        <f t="shared" ref="D23:I23" si="3">D24-D20-D21-D22</f>
        <v>499.651</v>
      </c>
      <c r="E23" s="35">
        <f t="shared" si="3"/>
        <v>283.369</v>
      </c>
      <c r="F23" s="35">
        <f t="shared" si="3"/>
        <v>216.282</v>
      </c>
      <c r="G23" s="35">
        <f t="shared" si="3"/>
        <v>41.707</v>
      </c>
      <c r="H23" s="35">
        <f t="shared" si="3"/>
        <v>82.554</v>
      </c>
      <c r="I23" s="39">
        <f t="shared" si="3"/>
        <v>66.063</v>
      </c>
      <c r="J23" s="35"/>
      <c r="K23" s="38">
        <f>K24-K20-K21-K22</f>
        <v>235.358</v>
      </c>
      <c r="L23" s="35"/>
      <c r="M23" s="35">
        <f>M24-M20-M21-M22</f>
        <v>51.64</v>
      </c>
      <c r="N23" s="35">
        <f>N24-N20-N21-N22</f>
        <v>37.596</v>
      </c>
      <c r="O23" s="35"/>
      <c r="P23" s="35"/>
      <c r="Q23" s="35"/>
      <c r="R23" s="35"/>
      <c r="S23" s="35"/>
      <c r="T23" s="35"/>
      <c r="U23" s="39"/>
      <c r="V23" s="38"/>
      <c r="W23" s="35"/>
      <c r="X23" s="35"/>
      <c r="Y23" s="35"/>
      <c r="Z23" s="35"/>
      <c r="AA23" s="35"/>
      <c r="AB23" s="35"/>
      <c r="AC23" s="35"/>
      <c r="AD23" s="35"/>
      <c r="AE23" s="39"/>
      <c r="AF23" s="35"/>
      <c r="AG23" s="38"/>
      <c r="AH23" s="35"/>
      <c r="AI23" s="35"/>
      <c r="AJ23" s="35"/>
      <c r="AK23" s="39"/>
    </row>
    <row r="24" s="3" customFormat="1" spans="1:37">
      <c r="A24" s="43">
        <v>2019</v>
      </c>
      <c r="B24" s="43" t="s">
        <v>46</v>
      </c>
      <c r="C24" s="44"/>
      <c r="D24" s="45">
        <v>1899.773</v>
      </c>
      <c r="E24" s="46">
        <v>1069.342</v>
      </c>
      <c r="F24" s="46">
        <v>830.431</v>
      </c>
      <c r="G24" s="46">
        <v>164.061</v>
      </c>
      <c r="H24" s="46">
        <v>330.346</v>
      </c>
      <c r="I24" s="47">
        <v>219.851</v>
      </c>
      <c r="J24" s="48"/>
      <c r="K24" s="45">
        <v>888.37</v>
      </c>
      <c r="L24" s="46">
        <v>178.618</v>
      </c>
      <c r="M24" s="46">
        <v>167.651</v>
      </c>
      <c r="N24" s="46">
        <v>143.081</v>
      </c>
      <c r="O24" s="46"/>
      <c r="P24" s="46"/>
      <c r="Q24" s="46"/>
      <c r="R24" s="46">
        <v>150.584</v>
      </c>
      <c r="S24" s="46"/>
      <c r="T24" s="46"/>
      <c r="U24" s="47">
        <v>371.469</v>
      </c>
      <c r="V24" s="45"/>
      <c r="W24" s="46"/>
      <c r="X24" s="46"/>
      <c r="Y24" s="46"/>
      <c r="Z24" s="46"/>
      <c r="AA24" s="46"/>
      <c r="AB24" s="46"/>
      <c r="AC24" s="46"/>
      <c r="AD24" s="46"/>
      <c r="AE24" s="47"/>
      <c r="AF24" s="48"/>
      <c r="AG24" s="45"/>
      <c r="AH24" s="46"/>
      <c r="AI24" s="46"/>
      <c r="AJ24" s="46"/>
      <c r="AK24" s="47"/>
    </row>
    <row r="25" s="3" customFormat="1" spans="1:37">
      <c r="A25" s="29">
        <v>2020</v>
      </c>
      <c r="B25" s="30" t="s">
        <v>42</v>
      </c>
      <c r="C25" s="31"/>
      <c r="D25" s="32">
        <v>535.7</v>
      </c>
      <c r="E25" s="33">
        <v>296.1</v>
      </c>
      <c r="F25" s="33">
        <v>239.6</v>
      </c>
      <c r="G25" s="33">
        <v>42.4</v>
      </c>
      <c r="H25" s="33">
        <v>87.2</v>
      </c>
      <c r="I25" s="34">
        <v>89.9</v>
      </c>
      <c r="J25" s="35"/>
      <c r="K25" s="32">
        <v>231.5</v>
      </c>
      <c r="L25" s="33">
        <v>49.7</v>
      </c>
      <c r="M25" s="33">
        <v>76</v>
      </c>
      <c r="N25" s="33">
        <v>39.9</v>
      </c>
      <c r="O25" s="33"/>
      <c r="P25" s="33"/>
      <c r="Q25" s="33"/>
      <c r="R25" s="33">
        <v>34.5</v>
      </c>
      <c r="S25" s="33"/>
      <c r="T25" s="33"/>
      <c r="U25" s="34">
        <v>104.1</v>
      </c>
      <c r="V25" s="32"/>
      <c r="W25" s="33"/>
      <c r="X25" s="33"/>
      <c r="Y25" s="33"/>
      <c r="Z25" s="33"/>
      <c r="AA25" s="33"/>
      <c r="AB25" s="33"/>
      <c r="AC25" s="33"/>
      <c r="AD25" s="33"/>
      <c r="AE25" s="34"/>
      <c r="AF25" s="35"/>
      <c r="AG25" s="32"/>
      <c r="AH25" s="33"/>
      <c r="AI25" s="33"/>
      <c r="AJ25" s="33"/>
      <c r="AK25" s="34"/>
    </row>
    <row r="26" s="3" customFormat="1" spans="1:37">
      <c r="A26" s="36">
        <v>2020</v>
      </c>
      <c r="B26" s="37" t="s">
        <v>43</v>
      </c>
      <c r="C26" s="31"/>
      <c r="D26" s="38">
        <v>544.3</v>
      </c>
      <c r="E26" s="35">
        <v>298</v>
      </c>
      <c r="F26" s="35">
        <v>246.3</v>
      </c>
      <c r="G26" s="35">
        <v>42.8</v>
      </c>
      <c r="H26" s="35">
        <v>86.1</v>
      </c>
      <c r="I26" s="39">
        <v>100.8</v>
      </c>
      <c r="J26" s="35"/>
      <c r="K26" s="38">
        <v>245</v>
      </c>
      <c r="L26" s="35">
        <v>75.2</v>
      </c>
      <c r="M26" s="35">
        <v>65</v>
      </c>
      <c r="N26" s="35">
        <v>37.3</v>
      </c>
      <c r="O26" s="35"/>
      <c r="P26" s="35"/>
      <c r="Q26" s="35"/>
      <c r="R26" s="35">
        <v>30.4</v>
      </c>
      <c r="S26" s="35"/>
      <c r="T26" s="35"/>
      <c r="U26" s="39">
        <v>91.4</v>
      </c>
      <c r="V26" s="38"/>
      <c r="W26" s="35"/>
      <c r="X26" s="35"/>
      <c r="Y26" s="35"/>
      <c r="Z26" s="35"/>
      <c r="AA26" s="35"/>
      <c r="AB26" s="35"/>
      <c r="AC26" s="35"/>
      <c r="AD26" s="35"/>
      <c r="AE26" s="39"/>
      <c r="AF26" s="35"/>
      <c r="AG26" s="38"/>
      <c r="AH26" s="35"/>
      <c r="AI26" s="35"/>
      <c r="AJ26" s="35"/>
      <c r="AK26" s="39"/>
    </row>
    <row r="27" s="3" customFormat="1" spans="1:37">
      <c r="A27" s="36">
        <v>2020</v>
      </c>
      <c r="B27" s="37" t="s">
        <v>44</v>
      </c>
      <c r="C27" s="31"/>
      <c r="D27" s="38">
        <v>589.8</v>
      </c>
      <c r="E27" s="35">
        <v>327.8</v>
      </c>
      <c r="F27" s="35">
        <v>262</v>
      </c>
      <c r="G27" s="35">
        <v>42.5</v>
      </c>
      <c r="H27" s="35">
        <v>87</v>
      </c>
      <c r="I27" s="39">
        <v>116.4</v>
      </c>
      <c r="J27" s="35"/>
      <c r="K27" s="38"/>
      <c r="L27" s="35"/>
      <c r="M27" s="35"/>
      <c r="N27" s="35"/>
      <c r="O27" s="35"/>
      <c r="P27" s="35"/>
      <c r="Q27" s="35"/>
      <c r="R27" s="35"/>
      <c r="S27" s="35"/>
      <c r="T27" s="35"/>
      <c r="U27" s="39"/>
      <c r="V27" s="38"/>
      <c r="W27" s="35"/>
      <c r="X27" s="35"/>
      <c r="Y27" s="35"/>
      <c r="Z27" s="35"/>
      <c r="AA27" s="35"/>
      <c r="AB27" s="35"/>
      <c r="AC27" s="35"/>
      <c r="AD27" s="35"/>
      <c r="AE27" s="39"/>
      <c r="AF27" s="35"/>
      <c r="AG27" s="38"/>
      <c r="AH27" s="35"/>
      <c r="AI27" s="35"/>
      <c r="AJ27" s="35"/>
      <c r="AK27" s="39"/>
    </row>
    <row r="28" s="3" customFormat="1" spans="1:37">
      <c r="A28" s="36">
        <v>2020</v>
      </c>
      <c r="B28" s="37" t="s">
        <v>45</v>
      </c>
      <c r="C28" s="31"/>
      <c r="D28" s="38">
        <f t="shared" ref="D28:I28" si="4">D29-D25-D26-D27</f>
        <v>660.2</v>
      </c>
      <c r="E28" s="35">
        <f t="shared" si="4"/>
        <v>358.6</v>
      </c>
      <c r="F28" s="35">
        <f t="shared" si="4"/>
        <v>301.6</v>
      </c>
      <c r="G28" s="35">
        <f t="shared" si="4"/>
        <v>45.4</v>
      </c>
      <c r="H28" s="35">
        <f t="shared" si="4"/>
        <v>92.8</v>
      </c>
      <c r="I28" s="39">
        <f t="shared" si="4"/>
        <v>146.7</v>
      </c>
      <c r="J28" s="40"/>
      <c r="K28" s="41"/>
      <c r="L28" s="40"/>
      <c r="M28" s="40"/>
      <c r="N28" s="40"/>
      <c r="O28" s="40"/>
      <c r="P28" s="40"/>
      <c r="Q28" s="40"/>
      <c r="R28" s="40"/>
      <c r="S28" s="40"/>
      <c r="T28" s="40"/>
      <c r="U28" s="42"/>
      <c r="V28" s="41"/>
      <c r="W28" s="40"/>
      <c r="X28" s="40"/>
      <c r="Y28" s="40"/>
      <c r="Z28" s="40"/>
      <c r="AA28" s="40"/>
      <c r="AB28" s="40"/>
      <c r="AC28" s="40"/>
      <c r="AD28" s="40"/>
      <c r="AE28" s="42"/>
      <c r="AF28" s="40"/>
      <c r="AG28" s="41"/>
      <c r="AH28" s="40"/>
      <c r="AI28" s="40"/>
      <c r="AJ28" s="40"/>
      <c r="AK28" s="42"/>
    </row>
    <row r="29" s="3" customFormat="1" spans="1:37">
      <c r="A29" s="43">
        <v>2020</v>
      </c>
      <c r="B29" s="43" t="s">
        <v>46</v>
      </c>
      <c r="C29" s="44"/>
      <c r="D29" s="45">
        <v>2330</v>
      </c>
      <c r="E29" s="46">
        <v>1280.5</v>
      </c>
      <c r="F29" s="46">
        <v>1049.5</v>
      </c>
      <c r="G29" s="46">
        <v>173.1</v>
      </c>
      <c r="H29" s="46">
        <v>353.1</v>
      </c>
      <c r="I29" s="47">
        <v>453.8</v>
      </c>
      <c r="J29" s="48"/>
      <c r="K29" s="45">
        <v>1058.9</v>
      </c>
      <c r="L29" s="46">
        <v>273.5</v>
      </c>
      <c r="M29" s="46">
        <v>278.8</v>
      </c>
      <c r="N29" s="46"/>
      <c r="O29" s="46"/>
      <c r="P29" s="46"/>
      <c r="Q29" s="46"/>
      <c r="R29" s="46"/>
      <c r="S29" s="46">
        <v>199.2</v>
      </c>
      <c r="T29" s="46"/>
      <c r="U29" s="47"/>
      <c r="V29" s="45"/>
      <c r="W29" s="46"/>
      <c r="X29" s="46"/>
      <c r="Y29" s="46"/>
      <c r="Z29" s="46"/>
      <c r="AA29" s="46"/>
      <c r="AB29" s="46"/>
      <c r="AC29" s="46"/>
      <c r="AD29" s="46"/>
      <c r="AE29" s="47"/>
      <c r="AF29" s="48"/>
      <c r="AG29" s="45"/>
      <c r="AH29" s="46"/>
      <c r="AI29" s="46"/>
      <c r="AJ29" s="46"/>
      <c r="AK29" s="47"/>
    </row>
    <row r="30" s="3" customFormat="1" spans="1:37">
      <c r="A30" s="29">
        <v>2021</v>
      </c>
      <c r="B30" s="30" t="s">
        <v>42</v>
      </c>
      <c r="C30" s="31"/>
      <c r="D30" s="32">
        <v>693.9</v>
      </c>
      <c r="E30" s="33">
        <v>371.8</v>
      </c>
      <c r="F30" s="33">
        <v>322.1</v>
      </c>
      <c r="G30" s="33">
        <v>47.2</v>
      </c>
      <c r="H30" s="33">
        <v>95.9</v>
      </c>
      <c r="I30" s="34">
        <v>155.5</v>
      </c>
      <c r="J30" s="35"/>
      <c r="K30" s="32">
        <v>282.8</v>
      </c>
      <c r="L30" s="33">
        <v>81.3</v>
      </c>
      <c r="M30" s="33">
        <v>97.9</v>
      </c>
      <c r="N30" s="33">
        <v>48</v>
      </c>
      <c r="O30" s="33">
        <v>59.4</v>
      </c>
      <c r="P30" s="33"/>
      <c r="Q30" s="33"/>
      <c r="R30" s="33"/>
      <c r="S30" s="33">
        <v>54.4</v>
      </c>
      <c r="T30" s="33"/>
      <c r="U30" s="34"/>
      <c r="V30" s="32"/>
      <c r="W30" s="33"/>
      <c r="X30" s="33"/>
      <c r="Y30" s="33"/>
      <c r="Z30" s="33"/>
      <c r="AA30" s="33"/>
      <c r="AB30" s="33"/>
      <c r="AC30" s="33"/>
      <c r="AD30" s="33"/>
      <c r="AE30" s="34"/>
      <c r="AF30" s="35"/>
      <c r="AG30" s="32"/>
      <c r="AH30" s="33"/>
      <c r="AI30" s="33"/>
      <c r="AJ30" s="33"/>
      <c r="AK30" s="34"/>
    </row>
    <row r="31" s="3" customFormat="1" spans="1:37">
      <c r="A31" s="36">
        <v>2021</v>
      </c>
      <c r="B31" s="37" t="s">
        <v>43</v>
      </c>
      <c r="C31" s="31"/>
      <c r="D31" s="38">
        <v>749.9</v>
      </c>
      <c r="E31" s="35">
        <v>394.7</v>
      </c>
      <c r="F31" s="35">
        <v>355.2</v>
      </c>
      <c r="G31" s="35">
        <v>50</v>
      </c>
      <c r="H31" s="35">
        <v>97.2</v>
      </c>
      <c r="I31" s="39">
        <v>186.3</v>
      </c>
      <c r="J31" s="35"/>
      <c r="K31" s="38">
        <v>291.5</v>
      </c>
      <c r="L31" s="35">
        <v>101.8</v>
      </c>
      <c r="M31" s="35">
        <v>104.1</v>
      </c>
      <c r="N31" s="35">
        <v>46.3</v>
      </c>
      <c r="O31" s="35">
        <v>61.3</v>
      </c>
      <c r="P31" s="35"/>
      <c r="Q31" s="35"/>
      <c r="R31" s="35"/>
      <c r="S31" s="35">
        <v>60.6</v>
      </c>
      <c r="T31" s="35"/>
      <c r="U31" s="39"/>
      <c r="V31" s="38"/>
      <c r="W31" s="35"/>
      <c r="X31" s="35"/>
      <c r="Y31" s="35"/>
      <c r="Z31" s="35"/>
      <c r="AA31" s="35"/>
      <c r="AB31" s="35"/>
      <c r="AC31" s="35"/>
      <c r="AD31" s="35"/>
      <c r="AE31" s="39"/>
      <c r="AF31" s="35"/>
      <c r="AG31" s="38"/>
      <c r="AH31" s="35"/>
      <c r="AI31" s="35"/>
      <c r="AJ31" s="35"/>
      <c r="AK31" s="39"/>
    </row>
    <row r="32" s="3" customFormat="1" spans="1:37">
      <c r="A32" s="36">
        <v>2021</v>
      </c>
      <c r="B32" s="37" t="s">
        <v>44</v>
      </c>
      <c r="C32" s="31"/>
      <c r="D32" s="38">
        <v>741.9</v>
      </c>
      <c r="E32" s="35">
        <v>393.5</v>
      </c>
      <c r="F32" s="35">
        <v>348.4</v>
      </c>
      <c r="G32" s="35">
        <v>51.7</v>
      </c>
      <c r="H32" s="35">
        <v>95.8</v>
      </c>
      <c r="I32" s="39">
        <v>175.3</v>
      </c>
      <c r="J32" s="35"/>
      <c r="K32" s="38">
        <v>348.4</v>
      </c>
      <c r="L32" s="35">
        <v>80.4</v>
      </c>
      <c r="M32" s="35">
        <v>90.6</v>
      </c>
      <c r="N32" s="35">
        <v>46.9</v>
      </c>
      <c r="O32" s="35">
        <v>44.1</v>
      </c>
      <c r="P32" s="35"/>
      <c r="Q32" s="35"/>
      <c r="R32" s="35"/>
      <c r="S32" s="35">
        <v>57.5</v>
      </c>
      <c r="T32" s="40"/>
      <c r="U32" s="42"/>
      <c r="V32" s="41"/>
      <c r="W32" s="40"/>
      <c r="X32" s="40"/>
      <c r="Y32" s="40"/>
      <c r="Z32" s="40"/>
      <c r="AA32" s="40"/>
      <c r="AB32" s="40"/>
      <c r="AC32" s="40"/>
      <c r="AD32" s="40"/>
      <c r="AE32" s="42"/>
      <c r="AF32" s="40"/>
      <c r="AG32" s="41"/>
      <c r="AH32" s="40"/>
      <c r="AI32" s="40"/>
      <c r="AJ32" s="40"/>
      <c r="AK32" s="42"/>
    </row>
    <row r="33" s="3" customFormat="1" spans="1:37">
      <c r="A33" s="36">
        <v>2021</v>
      </c>
      <c r="B33" s="37" t="s">
        <v>45</v>
      </c>
      <c r="C33" s="31"/>
      <c r="D33" s="52">
        <f t="shared" ref="D33:I33" si="5">D34-D30-D31-D32</f>
        <v>763.9</v>
      </c>
      <c r="E33" s="53">
        <f t="shared" si="5"/>
        <v>409.4</v>
      </c>
      <c r="F33" s="53">
        <f t="shared" si="5"/>
        <v>354.5</v>
      </c>
      <c r="G33" s="53">
        <f t="shared" si="5"/>
        <v>51.1</v>
      </c>
      <c r="H33" s="53">
        <f t="shared" si="5"/>
        <v>96.2000000000001</v>
      </c>
      <c r="I33" s="54">
        <f t="shared" si="5"/>
        <v>181.8</v>
      </c>
      <c r="J33" s="53"/>
      <c r="K33" s="52"/>
      <c r="L33" s="53"/>
      <c r="M33" s="53"/>
      <c r="N33" s="53"/>
      <c r="O33" s="53"/>
      <c r="P33" s="53"/>
      <c r="Q33" s="53"/>
      <c r="R33" s="53"/>
      <c r="S33" s="53"/>
      <c r="T33" s="53"/>
      <c r="U33" s="54"/>
      <c r="V33" s="52"/>
      <c r="W33" s="53"/>
      <c r="X33" s="53"/>
      <c r="Y33" s="53"/>
      <c r="Z33" s="53"/>
      <c r="AA33" s="53"/>
      <c r="AB33" s="53"/>
      <c r="AC33" s="53"/>
      <c r="AD33" s="53"/>
      <c r="AE33" s="54"/>
      <c r="AF33" s="53"/>
      <c r="AG33" s="52"/>
      <c r="AH33" s="53"/>
      <c r="AI33" s="53"/>
      <c r="AJ33" s="53"/>
      <c r="AK33" s="54"/>
    </row>
    <row r="34" s="3" customFormat="1" spans="1:37">
      <c r="A34" s="43">
        <v>2021</v>
      </c>
      <c r="B34" s="43" t="s">
        <v>46</v>
      </c>
      <c r="C34" s="44"/>
      <c r="D34" s="55">
        <v>2949.6</v>
      </c>
      <c r="E34" s="56">
        <v>1569.4</v>
      </c>
      <c r="F34" s="56">
        <v>1380.2</v>
      </c>
      <c r="G34" s="56">
        <v>200</v>
      </c>
      <c r="H34" s="56">
        <v>385.1</v>
      </c>
      <c r="I34" s="57">
        <v>698.9</v>
      </c>
      <c r="J34" s="58"/>
      <c r="K34" s="55"/>
      <c r="L34" s="56"/>
      <c r="M34" s="56"/>
      <c r="N34" s="56"/>
      <c r="O34" s="56"/>
      <c r="P34" s="56"/>
      <c r="Q34" s="56"/>
      <c r="R34" s="56"/>
      <c r="S34" s="56"/>
      <c r="T34" s="56"/>
      <c r="U34" s="57"/>
      <c r="V34" s="55"/>
      <c r="W34" s="56"/>
      <c r="X34" s="56"/>
      <c r="Y34" s="56"/>
      <c r="Z34" s="56"/>
      <c r="AA34" s="56"/>
      <c r="AB34" s="56"/>
      <c r="AC34" s="56"/>
      <c r="AD34" s="56"/>
      <c r="AE34" s="57"/>
      <c r="AF34" s="58"/>
      <c r="AG34" s="55"/>
      <c r="AH34" s="56"/>
      <c r="AI34" s="56"/>
      <c r="AJ34" s="56"/>
      <c r="AK34" s="57"/>
    </row>
    <row r="35" s="3" customFormat="1" spans="1:37">
      <c r="A35" s="29">
        <v>2022</v>
      </c>
      <c r="B35" s="30" t="s">
        <v>42</v>
      </c>
      <c r="C35" s="31"/>
      <c r="D35" s="59">
        <v>742</v>
      </c>
      <c r="E35" s="60">
        <v>408</v>
      </c>
      <c r="F35" s="60">
        <v>334</v>
      </c>
      <c r="G35" s="60">
        <v>52</v>
      </c>
      <c r="H35" s="60">
        <v>92</v>
      </c>
      <c r="I35" s="61">
        <v>172</v>
      </c>
      <c r="J35" s="53"/>
      <c r="K35" s="59"/>
      <c r="L35" s="60"/>
      <c r="M35" s="60"/>
      <c r="N35" s="60"/>
      <c r="O35" s="60"/>
      <c r="P35" s="60"/>
      <c r="Q35" s="60"/>
      <c r="R35" s="60"/>
      <c r="S35" s="60"/>
      <c r="T35" s="60"/>
      <c r="U35" s="61"/>
      <c r="V35" s="59"/>
      <c r="W35" s="60"/>
      <c r="X35" s="60"/>
      <c r="Y35" s="60"/>
      <c r="Z35" s="60"/>
      <c r="AA35" s="60"/>
      <c r="AB35" s="60"/>
      <c r="AC35" s="60"/>
      <c r="AD35" s="60"/>
      <c r="AE35" s="61"/>
      <c r="AF35" s="53"/>
      <c r="AG35" s="59"/>
      <c r="AH35" s="60"/>
      <c r="AI35" s="60"/>
      <c r="AJ35" s="60"/>
      <c r="AK35" s="61"/>
    </row>
    <row r="36" s="3" customFormat="1" spans="1:37">
      <c r="A36" s="36">
        <v>2022</v>
      </c>
      <c r="B36" s="37" t="s">
        <v>43</v>
      </c>
      <c r="C36" s="31"/>
      <c r="D36" s="52">
        <v>765</v>
      </c>
      <c r="E36" s="53">
        <v>427</v>
      </c>
      <c r="F36" s="53">
        <v>338</v>
      </c>
      <c r="G36" s="53">
        <v>53</v>
      </c>
      <c r="H36" s="53">
        <v>101</v>
      </c>
      <c r="I36" s="54">
        <v>164</v>
      </c>
      <c r="J36" s="62"/>
      <c r="K36" s="63"/>
      <c r="L36" s="62"/>
      <c r="M36" s="62"/>
      <c r="N36" s="62"/>
      <c r="O36" s="62"/>
      <c r="P36" s="62"/>
      <c r="Q36" s="62"/>
      <c r="R36" s="62"/>
      <c r="S36" s="62"/>
      <c r="T36" s="62"/>
      <c r="U36" s="64"/>
      <c r="V36" s="63"/>
      <c r="W36" s="62"/>
      <c r="X36" s="62"/>
      <c r="Y36" s="62"/>
      <c r="Z36" s="62"/>
      <c r="AA36" s="62"/>
      <c r="AB36" s="62"/>
      <c r="AC36" s="62"/>
      <c r="AD36" s="62"/>
      <c r="AE36" s="64"/>
      <c r="AF36" s="62"/>
      <c r="AG36" s="63"/>
      <c r="AH36" s="62"/>
      <c r="AI36" s="62"/>
      <c r="AJ36" s="62"/>
      <c r="AK36" s="64"/>
    </row>
    <row r="37" s="3" customFormat="1" spans="1:37">
      <c r="A37" s="36">
        <v>2022</v>
      </c>
      <c r="B37" s="37" t="s">
        <v>44</v>
      </c>
      <c r="C37" s="31"/>
      <c r="D37" s="52">
        <v>954</v>
      </c>
      <c r="E37" s="53">
        <v>564</v>
      </c>
      <c r="F37" s="53">
        <v>390</v>
      </c>
      <c r="G37" s="53">
        <v>63</v>
      </c>
      <c r="H37" s="53">
        <v>126</v>
      </c>
      <c r="I37" s="54">
        <v>118</v>
      </c>
      <c r="J37" s="53"/>
      <c r="K37" s="52">
        <v>393</v>
      </c>
      <c r="L37" s="53">
        <v>135</v>
      </c>
      <c r="M37" s="53">
        <v>82</v>
      </c>
      <c r="N37" s="53"/>
      <c r="O37" s="53"/>
      <c r="P37" s="53"/>
      <c r="Q37" s="53"/>
      <c r="R37" s="53">
        <v>100</v>
      </c>
      <c r="S37" s="53"/>
      <c r="T37" s="53"/>
      <c r="U37" s="54">
        <v>244</v>
      </c>
      <c r="V37" s="52"/>
      <c r="W37" s="53"/>
      <c r="X37" s="53"/>
      <c r="Y37" s="53"/>
      <c r="Z37" s="53"/>
      <c r="AA37" s="53"/>
      <c r="AB37" s="53"/>
      <c r="AC37" s="53"/>
      <c r="AD37" s="53"/>
      <c r="AE37" s="54"/>
      <c r="AF37" s="53"/>
      <c r="AG37" s="52">
        <v>510</v>
      </c>
      <c r="AH37" s="53"/>
      <c r="AI37" s="53">
        <v>267</v>
      </c>
      <c r="AJ37" s="53"/>
      <c r="AK37" s="54">
        <v>177</v>
      </c>
    </row>
    <row r="38" s="3" customFormat="1" spans="1:37">
      <c r="A38" s="36">
        <v>2022</v>
      </c>
      <c r="B38" s="37" t="s">
        <v>45</v>
      </c>
      <c r="C38" s="31"/>
      <c r="D38" s="52">
        <f t="shared" ref="D38:I38" si="6">D39-D35-D36-D37</f>
        <v>1086</v>
      </c>
      <c r="E38" s="53">
        <f t="shared" si="6"/>
        <v>601</v>
      </c>
      <c r="F38" s="53">
        <f t="shared" si="6"/>
        <v>485</v>
      </c>
      <c r="G38" s="53">
        <f t="shared" si="6"/>
        <v>73</v>
      </c>
      <c r="H38" s="53">
        <f t="shared" si="6"/>
        <v>169</v>
      </c>
      <c r="I38" s="54">
        <f t="shared" si="6"/>
        <v>163</v>
      </c>
      <c r="J38" s="53"/>
      <c r="K38" s="52"/>
      <c r="L38" s="53"/>
      <c r="M38" s="53"/>
      <c r="N38" s="53"/>
      <c r="O38" s="53"/>
      <c r="P38" s="53"/>
      <c r="Q38" s="53"/>
      <c r="R38" s="53"/>
      <c r="S38" s="53"/>
      <c r="T38" s="53"/>
      <c r="U38" s="54"/>
      <c r="V38" s="52"/>
      <c r="W38" s="53"/>
      <c r="X38" s="53"/>
      <c r="Y38" s="53"/>
      <c r="Z38" s="53"/>
      <c r="AA38" s="53"/>
      <c r="AB38" s="53"/>
      <c r="AC38" s="53"/>
      <c r="AD38" s="53"/>
      <c r="AE38" s="54"/>
      <c r="AF38" s="53"/>
      <c r="AG38" s="52"/>
      <c r="AH38" s="53"/>
      <c r="AI38" s="53"/>
      <c r="AJ38" s="53"/>
      <c r="AK38" s="54"/>
    </row>
    <row r="39" s="3" customFormat="1" spans="1:37">
      <c r="A39" s="43">
        <v>2022</v>
      </c>
      <c r="B39" s="43" t="s">
        <v>46</v>
      </c>
      <c r="C39" s="44"/>
      <c r="D39" s="55">
        <v>3547</v>
      </c>
      <c r="E39" s="56">
        <v>2000</v>
      </c>
      <c r="F39" s="56">
        <v>1547</v>
      </c>
      <c r="G39" s="56">
        <v>241</v>
      </c>
      <c r="H39" s="56">
        <v>488</v>
      </c>
      <c r="I39" s="57">
        <v>617</v>
      </c>
      <c r="J39" s="58"/>
      <c r="K39" s="55">
        <v>1479</v>
      </c>
      <c r="L39" s="56">
        <v>497</v>
      </c>
      <c r="M39" s="56">
        <v>360</v>
      </c>
      <c r="N39" s="56"/>
      <c r="O39" s="56"/>
      <c r="P39" s="56"/>
      <c r="Q39" s="56"/>
      <c r="R39" s="56">
        <v>243</v>
      </c>
      <c r="S39" s="56"/>
      <c r="T39" s="56"/>
      <c r="U39" s="57">
        <v>968</v>
      </c>
      <c r="V39" s="55"/>
      <c r="W39" s="56"/>
      <c r="X39" s="56"/>
      <c r="Y39" s="56"/>
      <c r="Z39" s="56"/>
      <c r="AA39" s="56"/>
      <c r="AB39" s="56"/>
      <c r="AC39" s="56"/>
      <c r="AD39" s="56"/>
      <c r="AE39" s="57"/>
      <c r="AF39" s="58"/>
      <c r="AG39" s="55">
        <v>1966</v>
      </c>
      <c r="AH39" s="56"/>
      <c r="AI39" s="56">
        <v>1064</v>
      </c>
      <c r="AJ39" s="56"/>
      <c r="AK39" s="57">
        <v>517</v>
      </c>
    </row>
    <row r="40" s="3" customFormat="1" spans="1:37">
      <c r="A40" s="29">
        <v>2023</v>
      </c>
      <c r="B40" s="30" t="s">
        <v>42</v>
      </c>
      <c r="C40" s="31"/>
      <c r="D40" s="59">
        <v>794</v>
      </c>
      <c r="E40" s="60">
        <v>459</v>
      </c>
      <c r="F40" s="60">
        <v>335</v>
      </c>
      <c r="G40" s="60">
        <v>72</v>
      </c>
      <c r="H40" s="60">
        <v>174</v>
      </c>
      <c r="I40" s="61">
        <v>1</v>
      </c>
      <c r="J40" s="53"/>
      <c r="K40" s="59">
        <v>254</v>
      </c>
      <c r="L40" s="60">
        <v>147</v>
      </c>
      <c r="M40" s="60">
        <v>74</v>
      </c>
      <c r="N40" s="60"/>
      <c r="O40" s="60"/>
      <c r="P40" s="60"/>
      <c r="Q40" s="60"/>
      <c r="R40" s="60">
        <v>73</v>
      </c>
      <c r="S40" s="60"/>
      <c r="T40" s="60"/>
      <c r="U40" s="61">
        <v>246</v>
      </c>
      <c r="V40" s="59">
        <v>309</v>
      </c>
      <c r="W40" s="60"/>
      <c r="X40" s="60"/>
      <c r="Y40" s="60">
        <v>222</v>
      </c>
      <c r="Z40" s="60"/>
      <c r="AA40" s="60"/>
      <c r="AB40" s="60">
        <v>263</v>
      </c>
      <c r="AC40" s="60"/>
      <c r="AD40" s="60"/>
      <c r="AE40" s="61"/>
      <c r="AF40" s="53"/>
      <c r="AG40" s="59">
        <v>293</v>
      </c>
      <c r="AH40" s="60"/>
      <c r="AI40" s="60">
        <v>197</v>
      </c>
      <c r="AJ40" s="60"/>
      <c r="AK40" s="61">
        <v>304</v>
      </c>
    </row>
    <row r="41" s="3" customFormat="1" spans="1:37">
      <c r="A41" s="36">
        <v>2023</v>
      </c>
      <c r="B41" s="37" t="s">
        <v>43</v>
      </c>
      <c r="C41" s="31"/>
      <c r="D41" s="52">
        <v>1003</v>
      </c>
      <c r="E41" s="53">
        <v>533</v>
      </c>
      <c r="F41" s="53">
        <v>470</v>
      </c>
      <c r="G41" s="53">
        <v>75</v>
      </c>
      <c r="H41" s="53">
        <v>172</v>
      </c>
      <c r="I41" s="54">
        <v>-1696</v>
      </c>
      <c r="J41" s="53"/>
      <c r="K41" s="52">
        <v>366</v>
      </c>
      <c r="L41" s="53">
        <v>175</v>
      </c>
      <c r="M41" s="53">
        <v>87</v>
      </c>
      <c r="N41" s="53"/>
      <c r="O41" s="53"/>
      <c r="P41" s="53"/>
      <c r="Q41" s="53"/>
      <c r="R41" s="53">
        <v>65</v>
      </c>
      <c r="S41" s="53"/>
      <c r="T41" s="53"/>
      <c r="U41" s="54">
        <v>310</v>
      </c>
      <c r="V41" s="52">
        <v>441</v>
      </c>
      <c r="W41" s="53"/>
      <c r="X41" s="53"/>
      <c r="Y41" s="53">
        <v>225</v>
      </c>
      <c r="Z41" s="53"/>
      <c r="AA41" s="53"/>
      <c r="AB41" s="53">
        <v>337</v>
      </c>
      <c r="AC41" s="53"/>
      <c r="AD41" s="53"/>
      <c r="AE41" s="54"/>
      <c r="AF41" s="53"/>
      <c r="AG41" s="52">
        <v>426</v>
      </c>
      <c r="AH41" s="53"/>
      <c r="AI41" s="53">
        <v>279</v>
      </c>
      <c r="AJ41" s="53"/>
      <c r="AK41" s="54">
        <v>298</v>
      </c>
    </row>
    <row r="42" s="3" customFormat="1" spans="1:37">
      <c r="A42" s="36">
        <v>2023</v>
      </c>
      <c r="B42" s="37" t="s">
        <v>44</v>
      </c>
      <c r="C42" s="31"/>
      <c r="D42" s="52">
        <v>932</v>
      </c>
      <c r="E42" s="53">
        <v>506</v>
      </c>
      <c r="F42" s="53">
        <v>426</v>
      </c>
      <c r="G42" s="53">
        <v>71</v>
      </c>
      <c r="H42" s="53">
        <v>167</v>
      </c>
      <c r="I42" s="54">
        <v>118</v>
      </c>
      <c r="J42" s="53"/>
      <c r="K42" s="52">
        <v>317</v>
      </c>
      <c r="L42" s="53">
        <v>183</v>
      </c>
      <c r="M42" s="53">
        <v>99</v>
      </c>
      <c r="N42" s="53">
        <v>59</v>
      </c>
      <c r="O42" s="53"/>
      <c r="P42" s="53"/>
      <c r="Q42" s="53"/>
      <c r="R42" s="53">
        <v>44</v>
      </c>
      <c r="S42" s="53"/>
      <c r="T42" s="53"/>
      <c r="U42" s="54">
        <v>230</v>
      </c>
      <c r="V42" s="52">
        <v>367</v>
      </c>
      <c r="W42" s="53"/>
      <c r="X42" s="53"/>
      <c r="Y42" s="53">
        <v>243</v>
      </c>
      <c r="Z42" s="53"/>
      <c r="AA42" s="53"/>
      <c r="AB42" s="53">
        <v>322</v>
      </c>
      <c r="AC42" s="53"/>
      <c r="AD42" s="53"/>
      <c r="AE42" s="54"/>
      <c r="AF42" s="53"/>
      <c r="AG42" s="52">
        <v>345</v>
      </c>
      <c r="AH42" s="53"/>
      <c r="AI42" s="53">
        <v>276</v>
      </c>
      <c r="AJ42" s="53"/>
      <c r="AK42" s="54">
        <v>311</v>
      </c>
    </row>
    <row r="43" s="3" customFormat="1" spans="1:37">
      <c r="A43" s="36">
        <v>2023</v>
      </c>
      <c r="B43" s="37" t="s">
        <v>45</v>
      </c>
      <c r="C43" s="31"/>
      <c r="D43" s="52">
        <f t="shared" ref="D43:I43" si="7">D44-D40-D41-D42</f>
        <v>893</v>
      </c>
      <c r="E43" s="53">
        <f t="shared" si="7"/>
        <v>482</v>
      </c>
      <c r="F43" s="53">
        <f t="shared" si="7"/>
        <v>411</v>
      </c>
      <c r="G43" s="53">
        <f t="shared" si="7"/>
        <v>70</v>
      </c>
      <c r="H43" s="53">
        <f t="shared" si="7"/>
        <v>162</v>
      </c>
      <c r="I43" s="54">
        <f t="shared" si="7"/>
        <v>23</v>
      </c>
      <c r="J43" s="53"/>
      <c r="K43" s="52">
        <f>K44-K40-K41-K42</f>
        <v>290</v>
      </c>
      <c r="L43" s="53">
        <f>L44-L40-L41-L42</f>
        <v>175</v>
      </c>
      <c r="M43" s="53">
        <f>M44-M40-M41-M42</f>
        <v>83</v>
      </c>
      <c r="N43" s="53"/>
      <c r="O43" s="53"/>
      <c r="P43" s="53"/>
      <c r="Q43" s="53"/>
      <c r="R43" s="53">
        <f>R44-R40-R41-R42</f>
        <v>54</v>
      </c>
      <c r="S43" s="53"/>
      <c r="T43" s="53"/>
      <c r="U43" s="54">
        <f>U44-U40-U41-U42</f>
        <v>96</v>
      </c>
      <c r="V43" s="52">
        <f>V44-V40-V41-V42</f>
        <v>362</v>
      </c>
      <c r="W43" s="53"/>
      <c r="X43" s="53"/>
      <c r="Y43" s="53">
        <f>Y44-Y40-Y41-Y42</f>
        <v>226</v>
      </c>
      <c r="Z43" s="53"/>
      <c r="AA43" s="53"/>
      <c r="AB43" s="53">
        <f>AB44-AB40-AB41-AB42</f>
        <v>305</v>
      </c>
      <c r="AC43" s="53"/>
      <c r="AD43" s="53"/>
      <c r="AE43" s="54"/>
      <c r="AF43" s="53"/>
      <c r="AG43" s="52">
        <f>AG44-AG40-AG41-AG42</f>
        <v>340</v>
      </c>
      <c r="AH43" s="53"/>
      <c r="AI43" s="53">
        <f>AI44-AI40-AI41-AI42</f>
        <v>260</v>
      </c>
      <c r="AJ43" s="53"/>
      <c r="AK43" s="54">
        <f>AK44-AK40-AK41-AK42</f>
        <v>293</v>
      </c>
    </row>
    <row r="44" s="3" customFormat="1" spans="1:37">
      <c r="A44" s="43">
        <v>2023</v>
      </c>
      <c r="B44" s="43" t="s">
        <v>46</v>
      </c>
      <c r="C44" s="44"/>
      <c r="D44" s="55">
        <v>3622</v>
      </c>
      <c r="E44" s="56">
        <v>1980</v>
      </c>
      <c r="F44" s="56">
        <v>1642</v>
      </c>
      <c r="G44" s="56">
        <v>288</v>
      </c>
      <c r="H44" s="56">
        <v>675</v>
      </c>
      <c r="I44" s="57">
        <v>-1554</v>
      </c>
      <c r="J44" s="58"/>
      <c r="K44" s="55">
        <v>1227</v>
      </c>
      <c r="L44" s="56">
        <v>680</v>
      </c>
      <c r="M44" s="56">
        <v>343</v>
      </c>
      <c r="N44" s="56">
        <v>254</v>
      </c>
      <c r="O44" s="56"/>
      <c r="P44" s="56"/>
      <c r="Q44" s="56"/>
      <c r="R44" s="56">
        <v>236</v>
      </c>
      <c r="S44" s="56"/>
      <c r="T44" s="56"/>
      <c r="U44" s="57">
        <v>882</v>
      </c>
      <c r="V44" s="55">
        <v>1479</v>
      </c>
      <c r="W44" s="56"/>
      <c r="X44" s="56"/>
      <c r="Y44" s="56">
        <v>916</v>
      </c>
      <c r="Z44" s="56"/>
      <c r="AA44" s="56"/>
      <c r="AB44" s="56">
        <v>1227</v>
      </c>
      <c r="AC44" s="56"/>
      <c r="AD44" s="56"/>
      <c r="AE44" s="57"/>
      <c r="AF44" s="58"/>
      <c r="AG44" s="55">
        <v>1404</v>
      </c>
      <c r="AH44" s="56"/>
      <c r="AI44" s="56">
        <v>1012</v>
      </c>
      <c r="AJ44" s="56"/>
      <c r="AK44" s="57">
        <v>1206</v>
      </c>
    </row>
    <row r="45" s="3" customFormat="1" spans="1:37">
      <c r="A45" s="29">
        <v>2024</v>
      </c>
      <c r="B45" s="30" t="s">
        <v>42</v>
      </c>
      <c r="C45" s="31"/>
      <c r="D45" s="59">
        <v>868</v>
      </c>
      <c r="E45" s="60">
        <v>453</v>
      </c>
      <c r="F45" s="60">
        <v>415</v>
      </c>
      <c r="G45" s="60">
        <v>70</v>
      </c>
      <c r="H45" s="60">
        <v>170</v>
      </c>
      <c r="I45" s="61">
        <v>106</v>
      </c>
      <c r="J45" s="53"/>
      <c r="K45" s="59">
        <v>308</v>
      </c>
      <c r="L45" s="60">
        <v>157</v>
      </c>
      <c r="M45" s="60">
        <v>72</v>
      </c>
      <c r="N45" s="60">
        <v>49</v>
      </c>
      <c r="O45" s="60"/>
      <c r="P45" s="60"/>
      <c r="Q45" s="60"/>
      <c r="R45" s="60">
        <v>73</v>
      </c>
      <c r="S45" s="60"/>
      <c r="T45" s="60"/>
      <c r="U45" s="61">
        <v>209</v>
      </c>
      <c r="V45" s="59">
        <v>351</v>
      </c>
      <c r="W45" s="60"/>
      <c r="X45" s="60"/>
      <c r="Y45" s="60">
        <v>208</v>
      </c>
      <c r="Z45" s="60"/>
      <c r="AA45" s="60"/>
      <c r="AB45" s="60">
        <v>309</v>
      </c>
      <c r="AC45" s="60"/>
      <c r="AD45" s="60"/>
      <c r="AE45" s="61"/>
      <c r="AF45" s="53"/>
      <c r="AG45" s="59">
        <v>332</v>
      </c>
      <c r="AH45" s="60"/>
      <c r="AI45" s="60">
        <v>254</v>
      </c>
      <c r="AJ45" s="60"/>
      <c r="AK45" s="61">
        <v>282</v>
      </c>
    </row>
    <row r="46" s="3" customFormat="1" spans="1:37">
      <c r="A46" s="36">
        <v>2024</v>
      </c>
      <c r="B46" s="37" t="s">
        <v>43</v>
      </c>
      <c r="C46" s="31"/>
      <c r="D46" s="52">
        <v>887</v>
      </c>
      <c r="E46" s="53">
        <v>468</v>
      </c>
      <c r="F46" s="53">
        <v>419</v>
      </c>
      <c r="G46" s="53">
        <v>66</v>
      </c>
      <c r="H46" s="53">
        <v>161</v>
      </c>
      <c r="I46" s="54">
        <v>127</v>
      </c>
      <c r="J46" s="53"/>
      <c r="K46" s="52">
        <v>202</v>
      </c>
      <c r="L46" s="53">
        <v>199</v>
      </c>
      <c r="M46" s="53">
        <v>82</v>
      </c>
      <c r="N46" s="53">
        <v>55</v>
      </c>
      <c r="O46" s="53">
        <v>62</v>
      </c>
      <c r="P46" s="53">
        <v>55</v>
      </c>
      <c r="Q46" s="53"/>
      <c r="R46" s="53"/>
      <c r="S46" s="53"/>
      <c r="T46" s="53"/>
      <c r="U46" s="54">
        <v>232</v>
      </c>
      <c r="V46" s="52">
        <v>369</v>
      </c>
      <c r="W46" s="53"/>
      <c r="X46" s="53"/>
      <c r="Y46" s="53">
        <v>229</v>
      </c>
      <c r="Z46" s="53"/>
      <c r="AA46" s="53"/>
      <c r="AB46" s="53">
        <v>289</v>
      </c>
      <c r="AC46" s="53"/>
      <c r="AD46" s="53"/>
      <c r="AE46" s="54"/>
      <c r="AF46" s="53"/>
      <c r="AG46" s="52">
        <v>335</v>
      </c>
      <c r="AH46" s="53"/>
      <c r="AI46" s="53">
        <v>254</v>
      </c>
      <c r="AJ46" s="53"/>
      <c r="AK46" s="54">
        <v>298</v>
      </c>
    </row>
    <row r="47" s="3" customFormat="1" spans="1:37">
      <c r="A47" s="36">
        <v>2024</v>
      </c>
      <c r="B47" s="37" t="s">
        <v>44</v>
      </c>
      <c r="C47" s="31"/>
      <c r="D47" s="52">
        <v>896</v>
      </c>
      <c r="E47" s="53">
        <v>464</v>
      </c>
      <c r="F47" s="53">
        <v>432</v>
      </c>
      <c r="G47" s="53">
        <v>70</v>
      </c>
      <c r="H47" s="53">
        <v>167</v>
      </c>
      <c r="I47" s="54">
        <v>128</v>
      </c>
      <c r="J47" s="53"/>
      <c r="K47" s="52">
        <v>194</v>
      </c>
      <c r="L47" s="53">
        <v>192</v>
      </c>
      <c r="M47" s="53">
        <v>89</v>
      </c>
      <c r="N47" s="53">
        <v>65</v>
      </c>
      <c r="O47" s="53">
        <v>66</v>
      </c>
      <c r="P47" s="53">
        <v>60</v>
      </c>
      <c r="Q47" s="53"/>
      <c r="R47" s="53"/>
      <c r="S47" s="53"/>
      <c r="T47" s="53"/>
      <c r="U47" s="54">
        <v>230</v>
      </c>
      <c r="V47" s="52">
        <v>378</v>
      </c>
      <c r="W47" s="53"/>
      <c r="X47" s="53"/>
      <c r="Y47" s="53">
        <v>231</v>
      </c>
      <c r="Z47" s="53"/>
      <c r="AA47" s="53"/>
      <c r="AB47" s="53">
        <v>287</v>
      </c>
      <c r="AC47" s="53"/>
      <c r="AD47" s="53"/>
      <c r="AE47" s="54"/>
      <c r="AF47" s="53"/>
      <c r="AG47" s="52"/>
      <c r="AH47" s="53"/>
      <c r="AI47" s="53"/>
      <c r="AJ47" s="53"/>
      <c r="AK47" s="54"/>
    </row>
    <row r="48" s="3" customFormat="1" spans="1:37">
      <c r="A48" s="36">
        <v>2024</v>
      </c>
      <c r="B48" s="37" t="s">
        <v>45</v>
      </c>
      <c r="C48" s="31"/>
      <c r="D48" s="52">
        <f t="shared" ref="D48:I48" si="8">D49-D45-D46-D47</f>
        <v>935</v>
      </c>
      <c r="E48" s="53">
        <f t="shared" si="8"/>
        <v>493</v>
      </c>
      <c r="F48" s="53">
        <f t="shared" si="8"/>
        <v>442</v>
      </c>
      <c r="G48" s="53">
        <f t="shared" si="8"/>
        <v>65</v>
      </c>
      <c r="H48" s="53">
        <f t="shared" si="8"/>
        <v>176</v>
      </c>
      <c r="I48" s="54">
        <f t="shared" si="8"/>
        <v>137</v>
      </c>
      <c r="J48" s="53"/>
      <c r="K48" s="52">
        <f>K49-K45-K46-K47</f>
        <v>100</v>
      </c>
      <c r="L48" s="53">
        <f>L49-L45-L46-L47</f>
        <v>227</v>
      </c>
      <c r="M48" s="53">
        <f>M49-M45-M46-M47</f>
        <v>115</v>
      </c>
      <c r="N48" s="53">
        <f>N49-N45-N46-N47</f>
        <v>81</v>
      </c>
      <c r="O48" s="53"/>
      <c r="P48" s="53"/>
      <c r="Q48" s="53"/>
      <c r="R48" s="53"/>
      <c r="S48" s="53"/>
      <c r="T48" s="53"/>
      <c r="U48" s="54">
        <f>U49-U45-U46-U47</f>
        <v>265</v>
      </c>
      <c r="V48" s="52">
        <f>V49-V45-V46-V47</f>
        <v>400</v>
      </c>
      <c r="W48" s="53"/>
      <c r="X48" s="53"/>
      <c r="Y48" s="53">
        <f>Y49-Y45-Y46-Y47</f>
        <v>254</v>
      </c>
      <c r="Z48" s="53"/>
      <c r="AA48" s="53"/>
      <c r="AB48" s="53">
        <f>AB49-AB45-AB46-AB47</f>
        <v>281</v>
      </c>
      <c r="AC48" s="53"/>
      <c r="AD48" s="53"/>
      <c r="AE48" s="54"/>
      <c r="AF48" s="53"/>
      <c r="AG48" s="52"/>
      <c r="AH48" s="53"/>
      <c r="AI48" s="53"/>
      <c r="AJ48" s="53"/>
      <c r="AK48" s="54"/>
    </row>
    <row r="49" s="3" customFormat="1" spans="1:37">
      <c r="A49" s="43">
        <v>2024</v>
      </c>
      <c r="B49" s="43" t="s">
        <v>46</v>
      </c>
      <c r="C49" s="44"/>
      <c r="D49" s="55">
        <v>3586</v>
      </c>
      <c r="E49" s="56">
        <v>1878</v>
      </c>
      <c r="F49" s="56">
        <v>1708</v>
      </c>
      <c r="G49" s="56">
        <v>271</v>
      </c>
      <c r="H49" s="56">
        <v>674</v>
      </c>
      <c r="I49" s="57">
        <v>498</v>
      </c>
      <c r="J49" s="58"/>
      <c r="K49" s="55">
        <v>804</v>
      </c>
      <c r="L49" s="56">
        <v>775</v>
      </c>
      <c r="M49" s="56">
        <v>358</v>
      </c>
      <c r="N49" s="56">
        <v>250</v>
      </c>
      <c r="O49" s="56">
        <v>234</v>
      </c>
      <c r="P49" s="56">
        <v>229</v>
      </c>
      <c r="Q49" s="56"/>
      <c r="R49" s="56"/>
      <c r="S49" s="56"/>
      <c r="T49" s="56"/>
      <c r="U49" s="57">
        <v>936</v>
      </c>
      <c r="V49" s="55">
        <v>1498</v>
      </c>
      <c r="W49" s="56"/>
      <c r="X49" s="56"/>
      <c r="Y49" s="56">
        <v>922</v>
      </c>
      <c r="Z49" s="56"/>
      <c r="AA49" s="56"/>
      <c r="AB49" s="56">
        <v>1166</v>
      </c>
      <c r="AC49" s="56"/>
      <c r="AD49" s="56"/>
      <c r="AE49" s="57"/>
      <c r="AF49" s="58"/>
      <c r="AG49" s="55">
        <v>1384</v>
      </c>
      <c r="AH49" s="56"/>
      <c r="AI49" s="56">
        <v>1021</v>
      </c>
      <c r="AJ49" s="56"/>
      <c r="AK49" s="57">
        <v>1181</v>
      </c>
    </row>
    <row r="50" s="3" customFormat="1" spans="1:37">
      <c r="A50" s="29">
        <v>2025</v>
      </c>
      <c r="B50" s="30" t="s">
        <v>42</v>
      </c>
      <c r="C50" s="31"/>
      <c r="D50" s="59">
        <v>936</v>
      </c>
      <c r="E50" s="60">
        <v>492</v>
      </c>
      <c r="F50" s="60">
        <v>444</v>
      </c>
      <c r="G50" s="60">
        <v>70</v>
      </c>
      <c r="H50" s="60">
        <v>185</v>
      </c>
      <c r="I50" s="61">
        <v>111</v>
      </c>
      <c r="J50" s="53"/>
      <c r="K50" s="59">
        <v>177</v>
      </c>
      <c r="L50" s="60">
        <v>219</v>
      </c>
      <c r="M50" s="60">
        <v>103</v>
      </c>
      <c r="N50" s="60">
        <v>68</v>
      </c>
      <c r="O50" s="60">
        <v>60</v>
      </c>
      <c r="P50" s="60">
        <v>63</v>
      </c>
      <c r="Q50" s="60"/>
      <c r="R50" s="60"/>
      <c r="S50" s="60"/>
      <c r="T50" s="60"/>
      <c r="U50" s="61">
        <v>246</v>
      </c>
      <c r="V50" s="59">
        <v>413</v>
      </c>
      <c r="W50" s="60"/>
      <c r="X50" s="60"/>
      <c r="Y50" s="60">
        <v>253</v>
      </c>
      <c r="Z50" s="60"/>
      <c r="AA50" s="60"/>
      <c r="AB50" s="60">
        <v>270</v>
      </c>
      <c r="AC50" s="60"/>
      <c r="AD50" s="60"/>
      <c r="AE50" s="61"/>
      <c r="AF50" s="53"/>
      <c r="AG50" s="59">
        <v>386</v>
      </c>
      <c r="AH50" s="60"/>
      <c r="AI50" s="60">
        <v>263</v>
      </c>
      <c r="AJ50" s="60"/>
      <c r="AK50" s="61">
        <v>287</v>
      </c>
    </row>
    <row r="51" s="3" customFormat="1" spans="1:37">
      <c r="A51" s="36">
        <v>2025</v>
      </c>
      <c r="B51" s="37" t="s">
        <v>43</v>
      </c>
      <c r="C51" s="31"/>
      <c r="D51" s="52">
        <v>973</v>
      </c>
      <c r="E51" s="53">
        <v>520</v>
      </c>
      <c r="F51" s="53">
        <v>453</v>
      </c>
      <c r="G51" s="53">
        <v>76</v>
      </c>
      <c r="H51" s="53">
        <v>175</v>
      </c>
      <c r="I51" s="54">
        <v>135</v>
      </c>
      <c r="J51" s="53"/>
      <c r="K51" s="52">
        <v>187</v>
      </c>
      <c r="L51" s="53">
        <v>219</v>
      </c>
      <c r="M51" s="53">
        <v>122</v>
      </c>
      <c r="N51" s="53">
        <v>59</v>
      </c>
      <c r="O51" s="53">
        <v>66</v>
      </c>
      <c r="P51" s="53">
        <v>72</v>
      </c>
      <c r="Q51" s="53"/>
      <c r="R51" s="53"/>
      <c r="S51" s="53"/>
      <c r="T51" s="53"/>
      <c r="U51" s="54">
        <v>248</v>
      </c>
      <c r="V51" s="52">
        <v>432</v>
      </c>
      <c r="W51" s="53"/>
      <c r="X51" s="53"/>
      <c r="Y51" s="53">
        <v>266</v>
      </c>
      <c r="Z51" s="53"/>
      <c r="AA51" s="53"/>
      <c r="AB51" s="53">
        <v>275</v>
      </c>
      <c r="AC51" s="53"/>
      <c r="AD51" s="53"/>
      <c r="AE51" s="54"/>
      <c r="AF51" s="53"/>
      <c r="AG51" s="52">
        <v>407</v>
      </c>
      <c r="AH51" s="53"/>
      <c r="AI51" s="53">
        <v>243</v>
      </c>
      <c r="AJ51" s="53"/>
      <c r="AK51" s="54">
        <v>323</v>
      </c>
    </row>
    <row r="52" s="3" customFormat="1" spans="1:37">
      <c r="A52" s="36">
        <v>2025</v>
      </c>
      <c r="B52" s="37" t="s">
        <v>44</v>
      </c>
      <c r="C52" s="31"/>
      <c r="D52" s="52">
        <v>988</v>
      </c>
      <c r="E52" s="53">
        <v>527</v>
      </c>
      <c r="F52" s="53">
        <v>461</v>
      </c>
      <c r="G52" s="53">
        <v>76</v>
      </c>
      <c r="H52" s="53">
        <v>180</v>
      </c>
      <c r="I52" s="54">
        <v>138</v>
      </c>
      <c r="J52" s="53"/>
      <c r="K52" s="52">
        <v>196</v>
      </c>
      <c r="L52" s="53">
        <v>236</v>
      </c>
      <c r="M52" s="53">
        <v>106</v>
      </c>
      <c r="N52" s="53">
        <v>56</v>
      </c>
      <c r="O52" s="53">
        <v>70</v>
      </c>
      <c r="P52" s="53">
        <v>60</v>
      </c>
      <c r="Q52" s="53"/>
      <c r="R52" s="53"/>
      <c r="S52" s="53"/>
      <c r="T52" s="53"/>
      <c r="U52" s="54">
        <v>264</v>
      </c>
      <c r="V52" s="52">
        <v>415</v>
      </c>
      <c r="W52" s="53"/>
      <c r="X52" s="53"/>
      <c r="Y52" s="53">
        <v>289</v>
      </c>
      <c r="Z52" s="53"/>
      <c r="AA52" s="53"/>
      <c r="AB52" s="53">
        <v>284</v>
      </c>
      <c r="AC52" s="53"/>
      <c r="AD52" s="53"/>
      <c r="AE52" s="54"/>
      <c r="AF52" s="53"/>
      <c r="AG52" s="52">
        <v>386</v>
      </c>
      <c r="AH52" s="53"/>
      <c r="AI52" s="53">
        <v>249</v>
      </c>
      <c r="AJ52" s="53"/>
      <c r="AK52" s="54">
        <v>353</v>
      </c>
    </row>
    <row r="53" s="3" customFormat="1" spans="1:37">
      <c r="A53" s="36">
        <v>2025</v>
      </c>
      <c r="B53" s="37" t="s">
        <v>45</v>
      </c>
      <c r="C53" s="31"/>
      <c r="D53" s="52">
        <f t="shared" ref="D53:I53" si="9">D54-D50-D51-D52</f>
        <v>1034</v>
      </c>
      <c r="E53" s="53">
        <f t="shared" si="9"/>
        <v>555</v>
      </c>
      <c r="F53" s="53">
        <f t="shared" si="9"/>
        <v>479</v>
      </c>
      <c r="G53" s="53">
        <f t="shared" si="9"/>
        <v>77</v>
      </c>
      <c r="H53" s="53">
        <f t="shared" si="9"/>
        <v>184</v>
      </c>
      <c r="I53" s="54">
        <f t="shared" si="9"/>
        <v>144</v>
      </c>
      <c r="J53" s="53"/>
      <c r="K53" s="52">
        <f t="shared" ref="K53:P53" si="10">K54-K50-K51-K52</f>
        <v>200</v>
      </c>
      <c r="L53" s="53">
        <f t="shared" si="10"/>
        <v>257</v>
      </c>
      <c r="M53" s="53">
        <f t="shared" si="10"/>
        <v>109</v>
      </c>
      <c r="N53" s="53">
        <f t="shared" si="10"/>
        <v>57</v>
      </c>
      <c r="O53" s="53">
        <f t="shared" si="10"/>
        <v>64</v>
      </c>
      <c r="P53" s="53">
        <f t="shared" si="10"/>
        <v>70</v>
      </c>
      <c r="Q53" s="53"/>
      <c r="R53" s="53"/>
      <c r="S53" s="53"/>
      <c r="T53" s="53"/>
      <c r="U53" s="54">
        <f>U54-U50-U51-U52</f>
        <v>277</v>
      </c>
      <c r="V53" s="52">
        <f>V54-V50-V51-V52</f>
        <v>436</v>
      </c>
      <c r="W53" s="53"/>
      <c r="X53" s="53"/>
      <c r="Y53" s="53">
        <f>Y54-Y50-Y51-Y52</f>
        <v>303</v>
      </c>
      <c r="Z53" s="53"/>
      <c r="AA53" s="53"/>
      <c r="AB53" s="53">
        <f>AB54-AB50-AB51-AB52</f>
        <v>295</v>
      </c>
      <c r="AC53" s="53"/>
      <c r="AD53" s="53"/>
      <c r="AE53" s="54"/>
      <c r="AF53" s="53"/>
      <c r="AG53" s="52">
        <f>AG54-AG50-AG51-AG52</f>
        <v>400</v>
      </c>
      <c r="AH53" s="53"/>
      <c r="AI53" s="53">
        <f>AI54-AI50-AI51-AI52</f>
        <v>274</v>
      </c>
      <c r="AJ53" s="53"/>
      <c r="AK53" s="54">
        <f>AK54-AK50-AK51-AK52</f>
        <v>360</v>
      </c>
    </row>
    <row r="54" s="3" customFormat="1" spans="1:37">
      <c r="A54" s="43">
        <v>2025</v>
      </c>
      <c r="B54" s="43" t="s">
        <v>46</v>
      </c>
      <c r="C54" s="44"/>
      <c r="D54" s="55">
        <v>3931</v>
      </c>
      <c r="E54" s="56">
        <v>2094</v>
      </c>
      <c r="F54" s="56">
        <v>1837</v>
      </c>
      <c r="G54" s="56">
        <v>299</v>
      </c>
      <c r="H54" s="56">
        <v>724</v>
      </c>
      <c r="I54" s="57">
        <v>528</v>
      </c>
      <c r="J54" s="58"/>
      <c r="K54" s="55">
        <v>760</v>
      </c>
      <c r="L54" s="56">
        <v>931</v>
      </c>
      <c r="M54" s="56">
        <v>440</v>
      </c>
      <c r="N54" s="56">
        <v>240</v>
      </c>
      <c r="O54" s="56">
        <v>260</v>
      </c>
      <c r="P54" s="56">
        <v>265</v>
      </c>
      <c r="Q54" s="56"/>
      <c r="R54" s="56"/>
      <c r="S54" s="56"/>
      <c r="T54" s="56"/>
      <c r="U54" s="57">
        <v>1035</v>
      </c>
      <c r="V54" s="55">
        <v>1696</v>
      </c>
      <c r="W54" s="56"/>
      <c r="X54" s="56"/>
      <c r="Y54" s="56">
        <v>1111</v>
      </c>
      <c r="Z54" s="56"/>
      <c r="AA54" s="56"/>
      <c r="AB54" s="56">
        <v>1124</v>
      </c>
      <c r="AC54" s="56"/>
      <c r="AD54" s="56"/>
      <c r="AE54" s="57"/>
      <c r="AF54" s="58"/>
      <c r="AG54" s="55">
        <v>1579</v>
      </c>
      <c r="AH54" s="56"/>
      <c r="AI54" s="56">
        <v>1029</v>
      </c>
      <c r="AJ54" s="56"/>
      <c r="AK54" s="57">
        <v>1323</v>
      </c>
    </row>
    <row r="55" s="3" customFormat="1" spans="1:37">
      <c r="A55" s="29">
        <v>2026</v>
      </c>
      <c r="B55" s="30" t="s">
        <v>42</v>
      </c>
      <c r="C55" s="31"/>
      <c r="D55" s="59">
        <v>1078</v>
      </c>
      <c r="E55" s="60">
        <v>571</v>
      </c>
      <c r="F55" s="60">
        <v>507</v>
      </c>
      <c r="G55" s="60">
        <v>81</v>
      </c>
      <c r="H55" s="60">
        <v>190</v>
      </c>
      <c r="I55" s="61">
        <v>149</v>
      </c>
      <c r="J55" s="53"/>
      <c r="K55" s="59">
        <v>195</v>
      </c>
      <c r="L55" s="60">
        <v>252</v>
      </c>
      <c r="M55" s="60">
        <v>129</v>
      </c>
      <c r="N55" s="60">
        <v>67</v>
      </c>
      <c r="O55" s="60">
        <v>62</v>
      </c>
      <c r="P55" s="60">
        <v>73</v>
      </c>
      <c r="Q55" s="60">
        <v>70</v>
      </c>
      <c r="R55" s="60"/>
      <c r="S55" s="60"/>
      <c r="T55" s="60"/>
      <c r="U55" s="61">
        <v>230</v>
      </c>
      <c r="V55" s="59">
        <v>466</v>
      </c>
      <c r="W55" s="60"/>
      <c r="X55" s="60"/>
      <c r="Y55" s="60">
        <v>321</v>
      </c>
      <c r="Z55" s="60"/>
      <c r="AA55" s="60"/>
      <c r="AB55" s="60">
        <v>291</v>
      </c>
      <c r="AC55" s="60"/>
      <c r="AD55" s="60"/>
      <c r="AE55" s="61"/>
      <c r="AF55" s="53"/>
      <c r="AG55" s="59">
        <v>425</v>
      </c>
      <c r="AH55" s="60"/>
      <c r="AI55" s="60">
        <v>303</v>
      </c>
      <c r="AJ55" s="60"/>
      <c r="AK55" s="61">
        <v>350</v>
      </c>
    </row>
    <row r="56" s="3" customFormat="1" spans="1:37">
      <c r="A56" s="65">
        <v>2026</v>
      </c>
      <c r="B56" s="66" t="s">
        <v>43</v>
      </c>
      <c r="C56" s="31"/>
      <c r="D56" s="67">
        <v>1248</v>
      </c>
      <c r="E56" s="68">
        <v>653</v>
      </c>
      <c r="F56" s="68">
        <v>595</v>
      </c>
      <c r="G56" s="68">
        <v>76</v>
      </c>
      <c r="H56" s="68">
        <v>200</v>
      </c>
      <c r="I56" s="69">
        <v>251</v>
      </c>
      <c r="J56" s="53"/>
      <c r="K56" s="67">
        <v>225</v>
      </c>
      <c r="L56" s="68">
        <v>292</v>
      </c>
      <c r="M56" s="68">
        <v>160</v>
      </c>
      <c r="N56" s="68">
        <v>78</v>
      </c>
      <c r="O56" s="68">
        <v>87</v>
      </c>
      <c r="P56" s="68">
        <v>78</v>
      </c>
      <c r="Q56" s="68">
        <v>90</v>
      </c>
      <c r="R56" s="68"/>
      <c r="S56" s="68"/>
      <c r="T56" s="68"/>
      <c r="U56" s="69">
        <v>238</v>
      </c>
      <c r="V56" s="67">
        <v>554</v>
      </c>
      <c r="W56" s="68"/>
      <c r="X56" s="68"/>
      <c r="Y56" s="68">
        <v>381</v>
      </c>
      <c r="Z56" s="68"/>
      <c r="AA56" s="68"/>
      <c r="AB56" s="68">
        <v>313</v>
      </c>
      <c r="AC56" s="68"/>
      <c r="AD56" s="68"/>
      <c r="AE56" s="69"/>
      <c r="AF56" s="53"/>
      <c r="AG56" s="67">
        <v>507</v>
      </c>
      <c r="AH56" s="68"/>
      <c r="AI56" s="68">
        <v>341</v>
      </c>
      <c r="AJ56" s="68"/>
      <c r="AK56" s="69">
        <v>400</v>
      </c>
    </row>
    <row r="57" s="3" customFormat="1" spans="1:37">
      <c r="A57" s="70"/>
      <c r="B57" s="71"/>
      <c r="C57" s="31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31"/>
      <c r="AD57" s="31"/>
      <c r="AE57" s="31"/>
      <c r="AF57" s="72"/>
      <c r="AG57" s="72"/>
      <c r="AH57" s="72"/>
      <c r="AI57" s="72"/>
      <c r="AJ57" s="72"/>
      <c r="AK57" s="72"/>
    </row>
    <row r="58" s="3" customFormat="1" spans="1:37">
      <c r="A58" s="70"/>
      <c r="B58" s="71"/>
      <c r="C58" s="31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31"/>
      <c r="AD58" s="31"/>
      <c r="AE58" s="31"/>
      <c r="AF58" s="72"/>
      <c r="AG58" s="72"/>
      <c r="AH58" s="72"/>
      <c r="AI58" s="72"/>
      <c r="AJ58" s="72"/>
      <c r="AK58" s="72"/>
    </row>
    <row r="59" s="3" customFormat="1" spans="1:37">
      <c r="A59" s="70"/>
      <c r="B59" s="71"/>
      <c r="C59" s="31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31"/>
      <c r="AD59" s="31"/>
      <c r="AE59" s="31"/>
      <c r="AF59" s="72"/>
      <c r="AG59" s="72"/>
      <c r="AH59" s="72"/>
      <c r="AI59" s="72"/>
      <c r="AJ59" s="72"/>
      <c r="AK59" s="72"/>
    </row>
    <row r="60" s="3" customFormat="1" spans="1:37">
      <c r="A60" s="70"/>
      <c r="B60" s="71"/>
      <c r="C60" s="31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4"/>
      <c r="AF60" s="73"/>
      <c r="AG60" s="73"/>
      <c r="AH60" s="73"/>
      <c r="AI60" s="73"/>
      <c r="AJ60" s="73"/>
      <c r="AK60" s="73"/>
    </row>
    <row r="61" s="3" customFormat="1" spans="1:37">
      <c r="A61" s="70"/>
      <c r="B61" s="71"/>
      <c r="C61" s="31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31"/>
      <c r="O61" s="72"/>
      <c r="P61" s="72"/>
      <c r="Q61" s="72"/>
      <c r="R61" s="72"/>
      <c r="S61" s="72"/>
      <c r="T61" s="72"/>
      <c r="U61" s="31"/>
      <c r="V61" s="72"/>
      <c r="W61" s="72"/>
      <c r="X61" s="72"/>
      <c r="Y61" s="72"/>
      <c r="Z61" s="31"/>
      <c r="AA61" s="31"/>
      <c r="AB61" s="72"/>
      <c r="AC61" s="31"/>
      <c r="AD61" s="31"/>
      <c r="AE61" s="31"/>
      <c r="AF61" s="72"/>
      <c r="AG61" s="72"/>
      <c r="AH61" s="72"/>
      <c r="AI61" s="72"/>
      <c r="AJ61" s="72"/>
      <c r="AK61" s="72"/>
    </row>
    <row r="62" s="3" customFormat="1" spans="1:37">
      <c r="A62" s="70"/>
      <c r="B62" s="71"/>
      <c r="C62" s="31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31"/>
      <c r="O62" s="72"/>
      <c r="P62" s="72"/>
      <c r="Q62" s="72"/>
      <c r="R62" s="72"/>
      <c r="S62" s="72"/>
      <c r="T62" s="72"/>
      <c r="U62" s="31"/>
      <c r="V62" s="72"/>
      <c r="W62" s="72"/>
      <c r="X62" s="72"/>
      <c r="Y62" s="72"/>
      <c r="Z62" s="72"/>
      <c r="AA62" s="72"/>
      <c r="AB62" s="72"/>
      <c r="AC62" s="31"/>
      <c r="AD62" s="31"/>
      <c r="AE62" s="31"/>
      <c r="AF62" s="72"/>
      <c r="AG62" s="72"/>
      <c r="AH62" s="72"/>
      <c r="AI62" s="72"/>
      <c r="AJ62" s="72"/>
      <c r="AK62" s="72"/>
    </row>
    <row r="63" s="3" customFormat="1" spans="1:37">
      <c r="A63" s="70"/>
      <c r="B63" s="71"/>
      <c r="C63" s="31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31"/>
      <c r="O63" s="72"/>
      <c r="P63" s="72"/>
      <c r="Q63" s="72"/>
      <c r="R63" s="72"/>
      <c r="S63" s="72"/>
      <c r="T63" s="72"/>
      <c r="U63" s="31"/>
      <c r="V63" s="72"/>
      <c r="W63" s="72"/>
      <c r="X63" s="72"/>
      <c r="Y63" s="72"/>
      <c r="Z63" s="72"/>
      <c r="AA63" s="72"/>
      <c r="AB63" s="72"/>
      <c r="AC63" s="31"/>
      <c r="AD63" s="31"/>
      <c r="AE63" s="31"/>
      <c r="AF63" s="72"/>
      <c r="AG63" s="72"/>
      <c r="AH63" s="72"/>
      <c r="AI63" s="72"/>
      <c r="AJ63" s="72"/>
      <c r="AK63" s="72"/>
    </row>
    <row r="64" s="3" customFormat="1" spans="1:37">
      <c r="A64" s="71"/>
      <c r="B64" s="71"/>
      <c r="C64" s="31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</row>
    <row r="65" s="3" customFormat="1" spans="1:38">
      <c r="A65" s="70"/>
      <c r="B65" s="71"/>
      <c r="C65" s="31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31"/>
      <c r="AD65" s="31"/>
      <c r="AE65" s="31"/>
      <c r="AF65" s="72"/>
      <c r="AG65" s="72"/>
      <c r="AH65" s="72"/>
      <c r="AI65" s="72"/>
      <c r="AJ65" s="72"/>
      <c r="AK65" s="72"/>
    </row>
    <row r="66" s="3" customFormat="1" spans="1:38">
      <c r="A66" s="70"/>
      <c r="B66" s="71"/>
      <c r="C66" s="31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31"/>
      <c r="AD66" s="31"/>
      <c r="AE66" s="31"/>
      <c r="AF66" s="72"/>
      <c r="AG66" s="72"/>
      <c r="AH66" s="72"/>
      <c r="AI66" s="72"/>
      <c r="AJ66" s="72"/>
      <c r="AK66" s="72"/>
    </row>
    <row r="67" s="3" customFormat="1" spans="1:38">
      <c r="A67" s="70"/>
      <c r="B67" s="71"/>
      <c r="C67" s="31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31"/>
      <c r="AD67" s="31"/>
      <c r="AE67" s="31"/>
      <c r="AF67" s="72"/>
      <c r="AG67" s="72"/>
      <c r="AH67" s="72"/>
      <c r="AI67" s="72"/>
      <c r="AJ67" s="72"/>
      <c r="AK67" s="72"/>
    </row>
    <row r="68" s="3" customFormat="1" spans="1:38">
      <c r="A68" s="70"/>
      <c r="B68" s="71"/>
      <c r="C68" s="31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4"/>
      <c r="AF68" s="73"/>
      <c r="AG68" s="73"/>
      <c r="AH68" s="73"/>
      <c r="AI68" s="73"/>
      <c r="AJ68" s="73"/>
      <c r="AK68" s="73"/>
    </row>
    <row r="69" s="3" customFormat="1" spans="1:38">
      <c r="A69" s="70"/>
      <c r="B69" s="71"/>
      <c r="C69" s="31"/>
      <c r="D69" s="72"/>
      <c r="E69" s="72"/>
      <c r="F69" s="72"/>
      <c r="G69" s="72"/>
      <c r="H69" s="72"/>
      <c r="I69" s="72"/>
      <c r="J69" s="72"/>
      <c r="K69" s="72"/>
      <c r="L69" s="31"/>
      <c r="M69" s="72"/>
      <c r="N69" s="31"/>
      <c r="O69" s="72"/>
      <c r="P69" s="72"/>
      <c r="Q69" s="31"/>
      <c r="R69" s="72"/>
      <c r="S69" s="72"/>
      <c r="T69" s="72"/>
      <c r="U69" s="31"/>
      <c r="V69" s="72"/>
      <c r="W69" s="72"/>
      <c r="X69" s="72"/>
      <c r="Y69" s="72"/>
      <c r="Z69" s="31"/>
      <c r="AA69" s="31"/>
      <c r="AB69" s="72"/>
      <c r="AC69" s="31"/>
      <c r="AD69" s="31"/>
      <c r="AE69" s="31"/>
      <c r="AF69" s="72"/>
      <c r="AG69" s="72"/>
      <c r="AH69" s="72"/>
      <c r="AI69" s="72"/>
      <c r="AJ69" s="72"/>
      <c r="AK69" s="72"/>
    </row>
    <row r="70" s="3" customFormat="1" spans="1:38">
      <c r="A70" s="70"/>
      <c r="B70" s="71"/>
      <c r="C70" s="31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31"/>
      <c r="O70" s="72"/>
      <c r="P70" s="72"/>
      <c r="Q70" s="72"/>
      <c r="R70" s="72"/>
      <c r="S70" s="72"/>
      <c r="T70" s="72"/>
      <c r="U70" s="31"/>
      <c r="V70" s="72"/>
      <c r="W70" s="72"/>
      <c r="X70" s="72"/>
      <c r="Y70" s="72"/>
      <c r="Z70" s="72"/>
      <c r="AA70" s="72"/>
      <c r="AB70" s="72"/>
      <c r="AC70" s="31"/>
      <c r="AD70" s="31"/>
      <c r="AE70" s="31"/>
      <c r="AF70" s="72"/>
      <c r="AG70" s="72"/>
      <c r="AH70" s="72"/>
      <c r="AI70" s="72"/>
      <c r="AJ70" s="72"/>
      <c r="AK70" s="72"/>
    </row>
    <row r="71" s="3" customFormat="1" spans="1:38">
      <c r="A71" s="70"/>
      <c r="B71" s="71"/>
      <c r="C71" s="31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31"/>
      <c r="O71" s="72"/>
      <c r="P71" s="72"/>
      <c r="Q71" s="72"/>
      <c r="R71" s="72"/>
      <c r="S71" s="72"/>
      <c r="T71" s="72"/>
      <c r="U71" s="31"/>
      <c r="V71" s="72"/>
      <c r="W71" s="72"/>
      <c r="X71" s="72"/>
      <c r="Y71" s="72"/>
      <c r="Z71" s="72"/>
      <c r="AA71" s="72"/>
      <c r="AB71" s="72"/>
      <c r="AC71" s="31"/>
      <c r="AD71" s="31"/>
      <c r="AE71" s="31"/>
      <c r="AF71" s="72"/>
      <c r="AG71" s="72"/>
      <c r="AH71" s="72"/>
      <c r="AI71" s="72"/>
      <c r="AJ71" s="72"/>
      <c r="AK71" s="72"/>
    </row>
    <row r="72" s="3" customFormat="1" spans="1:38">
      <c r="A72" s="70"/>
      <c r="B72" s="71"/>
      <c r="C72" s="31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4"/>
      <c r="AF72" s="73"/>
      <c r="AG72" s="73"/>
      <c r="AH72" s="73"/>
      <c r="AI72" s="73"/>
      <c r="AJ72" s="73"/>
      <c r="AK72" s="73"/>
    </row>
    <row r="73" s="3" customFormat="1" spans="1:38">
      <c r="A73" s="70"/>
      <c r="B73" s="71"/>
      <c r="C73" s="31"/>
      <c r="D73" s="72"/>
      <c r="E73" s="72"/>
      <c r="F73" s="72"/>
      <c r="G73" s="72"/>
      <c r="H73" s="72"/>
      <c r="I73" s="72"/>
      <c r="J73" s="72"/>
      <c r="K73" s="75"/>
      <c r="L73" s="75"/>
      <c r="M73" s="75"/>
      <c r="N73" s="75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31"/>
      <c r="AD73" s="31"/>
      <c r="AE73" s="31"/>
      <c r="AF73" s="72"/>
      <c r="AG73" s="72"/>
      <c r="AH73" s="72"/>
      <c r="AI73" s="72"/>
      <c r="AJ73" s="72"/>
      <c r="AK73" s="72"/>
    </row>
    <row r="74" s="3" customFormat="1" spans="1:38">
      <c r="A74" s="70"/>
      <c r="B74" s="71"/>
      <c r="C74" s="31"/>
      <c r="D74" s="72"/>
      <c r="E74" s="72"/>
      <c r="F74" s="72"/>
      <c r="G74" s="72"/>
      <c r="H74" s="72"/>
      <c r="I74" s="72"/>
      <c r="J74" s="72"/>
      <c r="K74" s="75"/>
      <c r="L74" s="75"/>
      <c r="M74" s="75"/>
      <c r="N74" s="75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31"/>
      <c r="AD74" s="31"/>
      <c r="AE74" s="31"/>
      <c r="AF74" s="72"/>
      <c r="AG74" s="72"/>
      <c r="AH74" s="72"/>
      <c r="AI74" s="72"/>
      <c r="AJ74" s="72"/>
      <c r="AK74" s="72"/>
    </row>
    <row r="75" s="3" customFormat="1" spans="1:38">
      <c r="A75" s="70"/>
      <c r="B75" s="71"/>
      <c r="C75" s="31"/>
      <c r="D75" s="72"/>
      <c r="E75" s="72"/>
      <c r="F75" s="72"/>
      <c r="G75" s="72"/>
      <c r="H75" s="72"/>
      <c r="I75" s="72"/>
      <c r="J75" s="72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2"/>
      <c r="W75" s="72"/>
      <c r="X75" s="72"/>
      <c r="Y75" s="72"/>
      <c r="Z75" s="72"/>
      <c r="AA75" s="72"/>
      <c r="AB75" s="72"/>
      <c r="AC75" s="31"/>
      <c r="AD75" s="31"/>
      <c r="AE75" s="31"/>
      <c r="AF75" s="72"/>
      <c r="AG75" s="72"/>
      <c r="AH75" s="72"/>
      <c r="AI75" s="72"/>
      <c r="AJ75" s="72"/>
      <c r="AK75" s="72"/>
    </row>
    <row r="76" s="3" customFormat="1" spans="1:38">
      <c r="A76" s="70"/>
      <c r="B76" s="71"/>
      <c r="C76" s="31"/>
      <c r="D76" s="73"/>
      <c r="E76" s="73"/>
      <c r="F76" s="73"/>
      <c r="G76" s="73"/>
      <c r="H76" s="73"/>
      <c r="I76" s="73"/>
      <c r="J76" s="73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3"/>
      <c r="W76" s="73"/>
      <c r="X76" s="73"/>
      <c r="Y76" s="73"/>
      <c r="Z76" s="73"/>
      <c r="AA76" s="73"/>
      <c r="AB76" s="73"/>
      <c r="AC76" s="73"/>
      <c r="AD76" s="73"/>
      <c r="AE76" s="74"/>
      <c r="AF76" s="73"/>
      <c r="AG76" s="74"/>
      <c r="AH76" s="73"/>
      <c r="AI76" s="73"/>
      <c r="AJ76" s="73"/>
      <c r="AK76" s="73"/>
    </row>
    <row r="77" s="3" customFormat="1" spans="1:38">
      <c r="A77" s="70"/>
      <c r="B77" s="71"/>
      <c r="C77" s="31"/>
      <c r="D77" s="72"/>
      <c r="E77" s="72"/>
      <c r="F77" s="72"/>
      <c r="G77" s="72"/>
      <c r="H77" s="72"/>
      <c r="I77" s="72"/>
      <c r="J77" s="72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2"/>
      <c r="W77" s="72"/>
      <c r="X77" s="72"/>
      <c r="Y77" s="72"/>
      <c r="Z77" s="72"/>
      <c r="AA77" s="72"/>
      <c r="AB77" s="72"/>
      <c r="AC77" s="31"/>
      <c r="AD77" s="31"/>
      <c r="AE77" s="31"/>
      <c r="AF77" s="72"/>
      <c r="AG77" s="72"/>
      <c r="AH77" s="72"/>
      <c r="AI77" s="72"/>
      <c r="AJ77" s="72"/>
      <c r="AK77" s="72"/>
      <c r="AL77" s="78"/>
    </row>
    <row r="78" s="3" customFormat="1" spans="1:38">
      <c r="A78" s="70"/>
      <c r="B78" s="71"/>
      <c r="C78" s="31"/>
      <c r="D78" s="72"/>
      <c r="E78" s="72"/>
      <c r="F78" s="72"/>
      <c r="G78" s="72"/>
      <c r="H78" s="72"/>
      <c r="I78" s="72"/>
      <c r="J78" s="72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31"/>
      <c r="W78" s="72"/>
      <c r="X78" s="72"/>
      <c r="Y78" s="31"/>
      <c r="Z78" s="31"/>
      <c r="AA78" s="72"/>
      <c r="AB78" s="31"/>
      <c r="AC78" s="31"/>
      <c r="AD78" s="31"/>
      <c r="AE78" s="31"/>
      <c r="AF78" s="72"/>
      <c r="AG78" s="72"/>
      <c r="AH78" s="72"/>
      <c r="AI78" s="72"/>
      <c r="AJ78" s="72"/>
      <c r="AK78" s="72"/>
    </row>
    <row r="79" s="3" customFormat="1" spans="1:38">
      <c r="A79" s="70"/>
      <c r="B79" s="71"/>
      <c r="C79" s="31"/>
      <c r="D79" s="72"/>
      <c r="E79" s="72"/>
      <c r="F79" s="72"/>
      <c r="G79" s="72"/>
      <c r="H79" s="72"/>
      <c r="I79" s="72"/>
      <c r="J79" s="72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2"/>
      <c r="W79" s="72"/>
      <c r="X79" s="72"/>
      <c r="Y79" s="72"/>
      <c r="Z79" s="72"/>
      <c r="AA79" s="72"/>
      <c r="AB79" s="72"/>
      <c r="AC79" s="31"/>
      <c r="AD79" s="31"/>
      <c r="AE79" s="31"/>
      <c r="AF79" s="72"/>
      <c r="AG79" s="72"/>
      <c r="AH79" s="72"/>
      <c r="AI79" s="72"/>
      <c r="AJ79" s="72"/>
      <c r="AK79" s="72"/>
    </row>
    <row r="80" s="3" customFormat="1" spans="1:38">
      <c r="A80" s="70"/>
      <c r="B80" s="71"/>
      <c r="C80" s="31"/>
      <c r="D80" s="73"/>
      <c r="E80" s="73"/>
      <c r="F80" s="73"/>
      <c r="G80" s="73"/>
      <c r="H80" s="73"/>
      <c r="I80" s="73"/>
      <c r="J80" s="73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3"/>
      <c r="W80" s="73"/>
      <c r="X80" s="73"/>
      <c r="Y80" s="73"/>
      <c r="Z80" s="73"/>
      <c r="AA80" s="73"/>
      <c r="AB80" s="73"/>
      <c r="AC80" s="73"/>
      <c r="AD80" s="73"/>
      <c r="AE80" s="74"/>
      <c r="AF80" s="73"/>
      <c r="AG80" s="73"/>
      <c r="AH80" s="73"/>
      <c r="AI80" s="73"/>
      <c r="AJ80" s="73"/>
      <c r="AK80" s="73"/>
    </row>
    <row r="81" s="3" customFormat="1" spans="1:38">
      <c r="A81" s="70"/>
      <c r="B81" s="71"/>
      <c r="C81" s="31"/>
      <c r="D81" s="72"/>
      <c r="E81" s="72"/>
      <c r="F81" s="72"/>
      <c r="G81" s="72"/>
      <c r="H81" s="72"/>
      <c r="I81" s="72"/>
      <c r="J81" s="72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2"/>
      <c r="W81" s="72"/>
      <c r="X81" s="72"/>
      <c r="Y81" s="72"/>
      <c r="Z81" s="72"/>
      <c r="AA81" s="72"/>
      <c r="AB81" s="72"/>
      <c r="AC81" s="31"/>
      <c r="AD81" s="31"/>
      <c r="AE81" s="31"/>
      <c r="AF81" s="72"/>
      <c r="AG81" s="72"/>
      <c r="AH81" s="72"/>
      <c r="AI81" s="72"/>
      <c r="AJ81" s="72"/>
      <c r="AK81" s="72"/>
      <c r="AL81" s="78"/>
    </row>
    <row r="82" s="3" customFormat="1" spans="1:38">
      <c r="A82" s="70"/>
      <c r="B82" s="71"/>
      <c r="C82" s="31"/>
      <c r="D82" s="72"/>
      <c r="E82" s="72"/>
      <c r="F82" s="72"/>
      <c r="G82" s="72"/>
      <c r="H82" s="72"/>
      <c r="I82" s="72"/>
      <c r="J82" s="72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2"/>
      <c r="W82" s="72"/>
      <c r="X82" s="72"/>
      <c r="Y82" s="31"/>
      <c r="Z82" s="31"/>
      <c r="AA82" s="72"/>
      <c r="AB82" s="31"/>
      <c r="AC82" s="31"/>
      <c r="AD82" s="31"/>
      <c r="AE82" s="31"/>
      <c r="AF82" s="72"/>
      <c r="AG82" s="72"/>
      <c r="AH82" s="72"/>
      <c r="AI82" s="72"/>
      <c r="AJ82" s="72"/>
      <c r="AK82" s="72"/>
    </row>
    <row r="83" s="3" customFormat="1" spans="1:38">
      <c r="A83" s="70"/>
      <c r="B83" s="71"/>
      <c r="C83" s="31"/>
      <c r="D83" s="72"/>
      <c r="E83" s="72"/>
      <c r="F83" s="72"/>
      <c r="G83" s="72"/>
      <c r="H83" s="72"/>
      <c r="I83" s="72"/>
      <c r="J83" s="72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2"/>
      <c r="W83" s="72"/>
      <c r="X83" s="72"/>
      <c r="Y83" s="72"/>
      <c r="Z83" s="72"/>
      <c r="AA83" s="72"/>
      <c r="AB83" s="72"/>
      <c r="AC83" s="31"/>
      <c r="AD83" s="31"/>
      <c r="AE83" s="31"/>
      <c r="AF83" s="72"/>
      <c r="AG83" s="72"/>
      <c r="AH83" s="72"/>
      <c r="AI83" s="72"/>
      <c r="AJ83" s="72"/>
      <c r="AK83" s="72"/>
    </row>
    <row r="84" s="3" customFormat="1" spans="1:38">
      <c r="A84" s="70"/>
      <c r="B84" s="71"/>
      <c r="C84" s="31"/>
      <c r="D84" s="73"/>
      <c r="E84" s="73"/>
      <c r="F84" s="73"/>
      <c r="G84" s="73"/>
      <c r="H84" s="73"/>
      <c r="I84" s="73"/>
      <c r="J84" s="73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3"/>
      <c r="W84" s="73"/>
      <c r="X84" s="73"/>
      <c r="Y84" s="73"/>
      <c r="Z84" s="73"/>
      <c r="AA84" s="73"/>
      <c r="AB84" s="73"/>
      <c r="AC84" s="73"/>
      <c r="AD84" s="73"/>
      <c r="AE84" s="74"/>
      <c r="AF84" s="73"/>
      <c r="AG84" s="73"/>
      <c r="AH84" s="73"/>
      <c r="AI84" s="73"/>
      <c r="AJ84" s="73"/>
      <c r="AK84" s="73"/>
    </row>
    <row r="85" spans="1:38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</row>
    <row r="86" spans="1:38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</row>
    <row r="87" s="3" customFormat="1" ht="14.15" customHeight="1" spans="1:38">
      <c r="A87" s="31"/>
      <c r="B87" s="31"/>
      <c r="C87" s="31"/>
      <c r="D87" s="79"/>
      <c r="E87" s="79"/>
      <c r="F87" s="79"/>
      <c r="G87" s="79"/>
      <c r="H87" s="79"/>
      <c r="I87" s="79"/>
      <c r="J87" s="79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31"/>
      <c r="AE87" s="31"/>
      <c r="AF87" s="31"/>
      <c r="AG87" s="31"/>
      <c r="AH87" s="31"/>
      <c r="AI87" s="31"/>
      <c r="AJ87" s="31"/>
      <c r="AK87" s="31"/>
    </row>
    <row r="88" s="3" customFormat="1" spans="1:38">
      <c r="A88" s="31"/>
      <c r="B88" s="31"/>
      <c r="C88" s="31"/>
      <c r="D88" s="79"/>
      <c r="E88" s="79"/>
      <c r="F88" s="79"/>
      <c r="G88" s="79"/>
      <c r="H88" s="79"/>
      <c r="I88" s="79"/>
      <c r="J88" s="79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31"/>
      <c r="AE88" s="31"/>
      <c r="AF88" s="31"/>
      <c r="AG88" s="31"/>
      <c r="AH88" s="31"/>
      <c r="AI88" s="31"/>
      <c r="AJ88" s="31"/>
      <c r="AK88" s="31"/>
    </row>
    <row r="89" s="3" customFormat="1" spans="1:38">
      <c r="A89" s="31"/>
      <c r="B89" s="31"/>
      <c r="C89" s="31"/>
      <c r="D89" s="79"/>
      <c r="E89" s="79"/>
      <c r="F89" s="79"/>
      <c r="G89" s="79"/>
      <c r="H89" s="79"/>
      <c r="I89" s="79"/>
      <c r="J89" s="79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</row>
  </sheetData>
  <mergeCells count="31">
    <mergeCell ref="D1:I1"/>
    <mergeCell ref="K1:AE1"/>
    <mergeCell ref="AG1:AK1"/>
    <mergeCell ref="K2:U2"/>
    <mergeCell ref="V2:AE2"/>
    <mergeCell ref="AG2:AK2"/>
    <mergeCell ref="A1:A4"/>
    <mergeCell ref="B1:B4"/>
    <mergeCell ref="D2:D4"/>
    <mergeCell ref="E2:E4"/>
    <mergeCell ref="F2:F4"/>
    <mergeCell ref="G2:G4"/>
    <mergeCell ref="H2:H4"/>
    <mergeCell ref="I2:I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AK3:AK4"/>
    <mergeCell ref="V3:X4"/>
    <mergeCell ref="Y3:AA4"/>
    <mergeCell ref="AB3:AE4"/>
    <mergeCell ref="AG3:AH4"/>
    <mergeCell ref="AI3:AJ4"/>
  </mergeCell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1"/>
  <sheetViews>
    <sheetView workbookViewId="0">
      <selection activeCell="A1" sqref="A1"/>
    </sheetView>
  </sheetViews>
  <sheetFormatPr defaultColWidth="9" defaultRowHeight="14" outlineLevelCol="5"/>
  <cols>
    <col min="1" max="1" width="18" customWidth="1"/>
    <col min="2" max="2" width="100" customWidth="1"/>
    <col min="4" max="4" width="35" customWidth="1"/>
    <col min="5" max="5" width="20" customWidth="1"/>
    <col min="6" max="6" width="26" customWidth="1"/>
  </cols>
  <sheetData>
    <row r="1" spans="1:6">
      <c r="A1" s="1" t="s">
        <v>47</v>
      </c>
      <c r="B1" s="1" t="s">
        <v>48</v>
      </c>
    </row>
    <row r="2" spans="1:6">
      <c r="A2" t="s">
        <v>49</v>
      </c>
      <c r="B2" t="s">
        <v>50</v>
      </c>
    </row>
    <row r="3" spans="1:6">
      <c r="A3" t="s">
        <v>51</v>
      </c>
      <c r="B3" t="s">
        <v>52</v>
      </c>
    </row>
    <row r="4" spans="1:6">
      <c r="A4" t="s">
        <v>45</v>
      </c>
      <c r="B4" t="s">
        <v>53</v>
      </c>
    </row>
    <row r="5" spans="1:6">
      <c r="A5" t="s">
        <v>54</v>
      </c>
      <c r="B5" t="s">
        <v>55</v>
      </c>
    </row>
    <row r="6" spans="1:6">
      <c r="A6" t="s">
        <v>56</v>
      </c>
      <c r="B6" t="s">
        <v>57</v>
      </c>
    </row>
    <row r="7" spans="1:6">
      <c r="A7" t="s">
        <v>58</v>
      </c>
      <c r="B7" t="s">
        <v>59</v>
      </c>
    </row>
    <row r="8" spans="1:6">
      <c r="A8" t="s">
        <v>60</v>
      </c>
      <c r="B8" t="s">
        <v>61</v>
      </c>
    </row>
    <row r="10" spans="1:6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 t="s">
        <v>67</v>
      </c>
    </row>
    <row r="11" spans="1:6">
      <c r="A11">
        <v>2016</v>
      </c>
      <c r="B11" t="s">
        <v>46</v>
      </c>
      <c r="C11" t="s">
        <v>56</v>
      </c>
      <c r="D11" t="s">
        <v>68</v>
      </c>
      <c r="E11">
        <v>675.601</v>
      </c>
      <c r="F11" t="s">
        <v>69</v>
      </c>
    </row>
    <row r="12" spans="1:6">
      <c r="A12">
        <v>2016</v>
      </c>
      <c r="B12" t="s">
        <v>46</v>
      </c>
      <c r="C12" t="s">
        <v>56</v>
      </c>
      <c r="D12" t="s">
        <v>17</v>
      </c>
      <c r="E12">
        <v>112.432</v>
      </c>
      <c r="F12" t="s">
        <v>69</v>
      </c>
    </row>
    <row r="13" spans="1:6">
      <c r="A13">
        <v>2016</v>
      </c>
      <c r="B13" t="s">
        <v>46</v>
      </c>
      <c r="C13" t="s">
        <v>56</v>
      </c>
      <c r="D13" t="s">
        <v>18</v>
      </c>
      <c r="E13">
        <v>96.954</v>
      </c>
      <c r="F13" t="s">
        <v>69</v>
      </c>
    </row>
    <row r="14" spans="1:6">
      <c r="A14">
        <v>2016</v>
      </c>
      <c r="B14" t="s">
        <v>46</v>
      </c>
      <c r="C14" t="s">
        <v>56</v>
      </c>
      <c r="D14" t="s">
        <v>23</v>
      </c>
      <c r="E14">
        <v>156.365</v>
      </c>
      <c r="F14" t="s">
        <v>69</v>
      </c>
    </row>
    <row r="15" spans="1:6">
      <c r="A15">
        <v>2016</v>
      </c>
      <c r="B15" t="s">
        <v>46</v>
      </c>
      <c r="C15" t="s">
        <v>56</v>
      </c>
      <c r="D15" t="s">
        <v>70</v>
      </c>
      <c r="E15">
        <v>253.99</v>
      </c>
      <c r="F15" t="s">
        <v>69</v>
      </c>
    </row>
    <row r="16" spans="1:6">
      <c r="A16">
        <v>2016</v>
      </c>
      <c r="B16" t="s">
        <v>42</v>
      </c>
      <c r="C16" t="s">
        <v>56</v>
      </c>
      <c r="D16" t="s">
        <v>68</v>
      </c>
      <c r="E16">
        <v>94.218</v>
      </c>
      <c r="F16" t="s">
        <v>71</v>
      </c>
    </row>
    <row r="17" spans="1:6">
      <c r="A17">
        <v>2016</v>
      </c>
      <c r="B17" t="s">
        <v>42</v>
      </c>
      <c r="C17" t="s">
        <v>56</v>
      </c>
      <c r="D17" t="s">
        <v>17</v>
      </c>
      <c r="E17">
        <v>20.55</v>
      </c>
      <c r="F17" t="s">
        <v>71</v>
      </c>
    </row>
    <row r="18" spans="1:6">
      <c r="A18">
        <v>2016</v>
      </c>
      <c r="B18" t="s">
        <v>42</v>
      </c>
      <c r="C18" t="s">
        <v>56</v>
      </c>
      <c r="D18" t="s">
        <v>18</v>
      </c>
      <c r="E18">
        <v>16.236</v>
      </c>
      <c r="F18" t="s">
        <v>71</v>
      </c>
    </row>
    <row r="19" spans="1:6">
      <c r="A19">
        <v>2016</v>
      </c>
      <c r="B19" t="s">
        <v>42</v>
      </c>
      <c r="C19" t="s">
        <v>56</v>
      </c>
      <c r="D19" t="s">
        <v>70</v>
      </c>
      <c r="E19">
        <v>33.456</v>
      </c>
      <c r="F19" t="s">
        <v>71</v>
      </c>
    </row>
    <row r="20" spans="1:6">
      <c r="A20">
        <v>2016</v>
      </c>
      <c r="B20" t="s">
        <v>42</v>
      </c>
      <c r="C20" t="s">
        <v>56</v>
      </c>
      <c r="D20" t="s">
        <v>23</v>
      </c>
      <c r="E20">
        <v>19.221</v>
      </c>
      <c r="F20" t="s">
        <v>71</v>
      </c>
    </row>
    <row r="21" spans="1:6">
      <c r="A21">
        <v>2017</v>
      </c>
      <c r="B21" t="s">
        <v>46</v>
      </c>
      <c r="C21" t="s">
        <v>56</v>
      </c>
      <c r="D21" t="s">
        <v>68</v>
      </c>
      <c r="E21">
        <v>955.284</v>
      </c>
      <c r="F21" t="s">
        <v>72</v>
      </c>
    </row>
    <row r="22" spans="1:6">
      <c r="A22">
        <v>2017</v>
      </c>
      <c r="B22" t="s">
        <v>46</v>
      </c>
      <c r="C22" t="s">
        <v>56</v>
      </c>
      <c r="D22" t="s">
        <v>73</v>
      </c>
      <c r="E22">
        <v>212.763</v>
      </c>
      <c r="F22" t="s">
        <v>72</v>
      </c>
    </row>
    <row r="23" spans="1:6">
      <c r="A23">
        <v>2017</v>
      </c>
      <c r="B23" t="s">
        <v>46</v>
      </c>
      <c r="C23" t="s">
        <v>56</v>
      </c>
      <c r="D23" t="s">
        <v>18</v>
      </c>
      <c r="E23">
        <v>167.318</v>
      </c>
      <c r="F23" t="s">
        <v>72</v>
      </c>
    </row>
    <row r="24" spans="1:6">
      <c r="A24">
        <v>2017</v>
      </c>
      <c r="B24" t="s">
        <v>46</v>
      </c>
      <c r="C24" t="s">
        <v>56</v>
      </c>
      <c r="D24" t="s">
        <v>23</v>
      </c>
      <c r="E24">
        <v>209.912</v>
      </c>
      <c r="F24" t="s">
        <v>72</v>
      </c>
    </row>
    <row r="25" spans="1:6">
      <c r="A25">
        <v>2017</v>
      </c>
      <c r="B25" t="s">
        <v>46</v>
      </c>
      <c r="C25" t="s">
        <v>56</v>
      </c>
      <c r="D25" t="s">
        <v>74</v>
      </c>
      <c r="E25">
        <v>370.7</v>
      </c>
      <c r="F25" t="s">
        <v>72</v>
      </c>
    </row>
    <row r="26" spans="1:6">
      <c r="A26">
        <v>2017</v>
      </c>
      <c r="B26" t="s">
        <v>42</v>
      </c>
      <c r="C26" t="s">
        <v>56</v>
      </c>
      <c r="D26" t="s">
        <v>68</v>
      </c>
      <c r="E26">
        <v>218.05</v>
      </c>
      <c r="F26" t="s">
        <v>75</v>
      </c>
    </row>
    <row r="27" spans="1:6">
      <c r="A27">
        <v>2017</v>
      </c>
      <c r="B27" t="s">
        <v>42</v>
      </c>
      <c r="C27" t="s">
        <v>56</v>
      </c>
      <c r="D27" t="s">
        <v>17</v>
      </c>
      <c r="E27">
        <v>44.878</v>
      </c>
      <c r="F27" t="s">
        <v>75</v>
      </c>
    </row>
    <row r="28" spans="1:6">
      <c r="A28">
        <v>2017</v>
      </c>
      <c r="B28" t="s">
        <v>42</v>
      </c>
      <c r="C28" t="s">
        <v>56</v>
      </c>
      <c r="D28" t="s">
        <v>18</v>
      </c>
      <c r="E28">
        <v>37.792</v>
      </c>
      <c r="F28" t="s">
        <v>75</v>
      </c>
    </row>
    <row r="29" spans="1:6">
      <c r="A29">
        <v>2017</v>
      </c>
      <c r="B29" t="s">
        <v>42</v>
      </c>
      <c r="C29" t="s">
        <v>56</v>
      </c>
      <c r="D29" t="s">
        <v>70</v>
      </c>
      <c r="E29">
        <v>88.243</v>
      </c>
      <c r="F29" t="s">
        <v>75</v>
      </c>
    </row>
    <row r="30" spans="1:6">
      <c r="A30">
        <v>2017</v>
      </c>
      <c r="B30" t="s">
        <v>42</v>
      </c>
      <c r="C30" t="s">
        <v>56</v>
      </c>
      <c r="D30" t="s">
        <v>23</v>
      </c>
      <c r="E30">
        <v>48.19</v>
      </c>
      <c r="F30" t="s">
        <v>75</v>
      </c>
    </row>
    <row r="31" spans="1:6">
      <c r="A31">
        <v>2017</v>
      </c>
      <c r="B31" t="s">
        <v>43</v>
      </c>
      <c r="C31" t="s">
        <v>56</v>
      </c>
      <c r="D31" t="s">
        <v>68</v>
      </c>
      <c r="E31">
        <v>244.649</v>
      </c>
      <c r="F31" t="s">
        <v>76</v>
      </c>
    </row>
    <row r="32" spans="1:6">
      <c r="A32">
        <v>2017</v>
      </c>
      <c r="B32" t="s">
        <v>43</v>
      </c>
      <c r="C32" t="s">
        <v>56</v>
      </c>
      <c r="D32" t="s">
        <v>17</v>
      </c>
      <c r="E32">
        <v>59.827</v>
      </c>
      <c r="F32" t="s">
        <v>76</v>
      </c>
    </row>
    <row r="33" spans="1:6">
      <c r="A33">
        <v>2017</v>
      </c>
      <c r="B33" t="s">
        <v>43</v>
      </c>
      <c r="C33" t="s">
        <v>56</v>
      </c>
      <c r="D33" t="s">
        <v>18</v>
      </c>
      <c r="E33">
        <v>36.865</v>
      </c>
      <c r="F33" t="s">
        <v>76</v>
      </c>
    </row>
    <row r="34" spans="1:6">
      <c r="A34">
        <v>2017</v>
      </c>
      <c r="B34" t="s">
        <v>43</v>
      </c>
      <c r="C34" t="s">
        <v>56</v>
      </c>
      <c r="D34" t="s">
        <v>70</v>
      </c>
      <c r="E34">
        <v>91.63</v>
      </c>
      <c r="F34" t="s">
        <v>76</v>
      </c>
    </row>
    <row r="35" spans="1:6">
      <c r="A35">
        <v>2017</v>
      </c>
      <c r="B35" t="s">
        <v>43</v>
      </c>
      <c r="C35" t="s">
        <v>56</v>
      </c>
      <c r="D35" t="s">
        <v>23</v>
      </c>
      <c r="E35">
        <v>47.786</v>
      </c>
      <c r="F35" t="s">
        <v>76</v>
      </c>
    </row>
    <row r="36" spans="1:6">
      <c r="A36">
        <v>2017</v>
      </c>
      <c r="B36" t="s">
        <v>44</v>
      </c>
      <c r="C36" t="s">
        <v>56</v>
      </c>
      <c r="D36" t="s">
        <v>68</v>
      </c>
      <c r="E36">
        <v>237.592</v>
      </c>
      <c r="F36" t="s">
        <v>77</v>
      </c>
    </row>
    <row r="37" spans="1:6">
      <c r="A37">
        <v>2017</v>
      </c>
      <c r="B37" t="s">
        <v>44</v>
      </c>
      <c r="C37" t="s">
        <v>56</v>
      </c>
      <c r="D37" t="s">
        <v>17</v>
      </c>
      <c r="E37">
        <v>60.908</v>
      </c>
      <c r="F37" t="s">
        <v>77</v>
      </c>
    </row>
    <row r="38" spans="1:6">
      <c r="A38">
        <v>2017</v>
      </c>
      <c r="B38" t="s">
        <v>44</v>
      </c>
      <c r="C38" t="s">
        <v>56</v>
      </c>
      <c r="D38" t="s">
        <v>18</v>
      </c>
      <c r="E38">
        <v>38.411</v>
      </c>
      <c r="F38" t="s">
        <v>77</v>
      </c>
    </row>
    <row r="39" spans="1:6">
      <c r="A39">
        <v>2017</v>
      </c>
      <c r="B39" t="s">
        <v>44</v>
      </c>
      <c r="C39" t="s">
        <v>56</v>
      </c>
      <c r="D39" t="s">
        <v>70</v>
      </c>
      <c r="E39">
        <v>94.084</v>
      </c>
      <c r="F39" t="s">
        <v>77</v>
      </c>
    </row>
    <row r="40" spans="1:6">
      <c r="A40">
        <v>2017</v>
      </c>
      <c r="B40" t="s">
        <v>44</v>
      </c>
      <c r="C40" t="s">
        <v>56</v>
      </c>
      <c r="D40" t="s">
        <v>23</v>
      </c>
      <c r="E40">
        <v>55.272</v>
      </c>
      <c r="F40" t="s">
        <v>77</v>
      </c>
    </row>
    <row r="41" spans="1:6">
      <c r="A41">
        <v>2018</v>
      </c>
      <c r="B41" t="s">
        <v>46</v>
      </c>
      <c r="C41" t="s">
        <v>56</v>
      </c>
      <c r="D41" t="s">
        <v>68</v>
      </c>
      <c r="E41">
        <v>1022.66</v>
      </c>
      <c r="F41" t="s">
        <v>78</v>
      </c>
    </row>
    <row r="42" spans="1:6">
      <c r="A42">
        <v>2018</v>
      </c>
      <c r="B42" t="s">
        <v>46</v>
      </c>
      <c r="C42" t="s">
        <v>56</v>
      </c>
      <c r="D42" t="s">
        <v>73</v>
      </c>
      <c r="E42">
        <v>203.567</v>
      </c>
      <c r="F42" t="s">
        <v>78</v>
      </c>
    </row>
    <row r="43" spans="1:6">
      <c r="A43">
        <v>2018</v>
      </c>
      <c r="B43" t="s">
        <v>46</v>
      </c>
      <c r="C43" t="s">
        <v>56</v>
      </c>
      <c r="D43" t="s">
        <v>18</v>
      </c>
      <c r="E43">
        <v>193.264</v>
      </c>
      <c r="F43" t="s">
        <v>78</v>
      </c>
    </row>
    <row r="44" spans="1:6">
      <c r="A44">
        <v>2018</v>
      </c>
      <c r="B44" t="s">
        <v>46</v>
      </c>
      <c r="C44" t="s">
        <v>56</v>
      </c>
      <c r="D44" t="s">
        <v>23</v>
      </c>
      <c r="E44">
        <v>244.009</v>
      </c>
      <c r="F44" t="s">
        <v>78</v>
      </c>
    </row>
    <row r="45" spans="1:6">
      <c r="A45">
        <v>2018</v>
      </c>
      <c r="B45" t="s">
        <v>46</v>
      </c>
      <c r="C45" t="s">
        <v>56</v>
      </c>
      <c r="D45" t="s">
        <v>74</v>
      </c>
      <c r="E45">
        <v>411.608</v>
      </c>
      <c r="F45" t="s">
        <v>78</v>
      </c>
    </row>
    <row r="46" spans="1:6">
      <c r="A46">
        <v>2018</v>
      </c>
      <c r="B46" t="s">
        <v>42</v>
      </c>
      <c r="C46" t="s">
        <v>56</v>
      </c>
      <c r="D46" t="s">
        <v>68</v>
      </c>
      <c r="E46">
        <v>276.72</v>
      </c>
      <c r="F46" t="s">
        <v>79</v>
      </c>
    </row>
    <row r="47" spans="1:6">
      <c r="A47">
        <v>2018</v>
      </c>
      <c r="B47" t="s">
        <v>42</v>
      </c>
      <c r="C47" t="s">
        <v>56</v>
      </c>
      <c r="D47" t="s">
        <v>17</v>
      </c>
      <c r="E47">
        <v>54.011</v>
      </c>
      <c r="F47" t="s">
        <v>79</v>
      </c>
    </row>
    <row r="48" spans="1:6">
      <c r="A48">
        <v>2018</v>
      </c>
      <c r="B48" t="s">
        <v>42</v>
      </c>
      <c r="C48" t="s">
        <v>56</v>
      </c>
      <c r="D48" t="s">
        <v>18</v>
      </c>
      <c r="E48">
        <v>58.274</v>
      </c>
      <c r="F48" t="s">
        <v>79</v>
      </c>
    </row>
    <row r="49" spans="1:6">
      <c r="A49">
        <v>2018</v>
      </c>
      <c r="B49" t="s">
        <v>42</v>
      </c>
      <c r="C49" t="s">
        <v>56</v>
      </c>
      <c r="D49" t="s">
        <v>70</v>
      </c>
      <c r="E49">
        <v>101.384</v>
      </c>
      <c r="F49" t="s">
        <v>79</v>
      </c>
    </row>
    <row r="50" spans="1:6">
      <c r="A50">
        <v>2018</v>
      </c>
      <c r="B50" t="s">
        <v>42</v>
      </c>
      <c r="C50" t="s">
        <v>56</v>
      </c>
      <c r="D50" t="s">
        <v>23</v>
      </c>
      <c r="E50">
        <v>63.886</v>
      </c>
      <c r="F50" t="s">
        <v>79</v>
      </c>
    </row>
    <row r="51" spans="1:6">
      <c r="A51">
        <v>2018</v>
      </c>
      <c r="B51" t="s">
        <v>43</v>
      </c>
      <c r="C51" t="s">
        <v>56</v>
      </c>
      <c r="D51" t="s">
        <v>68</v>
      </c>
      <c r="E51">
        <v>281.818</v>
      </c>
      <c r="F51" t="s">
        <v>80</v>
      </c>
    </row>
    <row r="52" spans="1:6">
      <c r="A52">
        <v>2018</v>
      </c>
      <c r="B52" t="s">
        <v>43</v>
      </c>
      <c r="C52" t="s">
        <v>56</v>
      </c>
      <c r="D52" t="s">
        <v>17</v>
      </c>
      <c r="E52">
        <v>66.983</v>
      </c>
      <c r="F52" t="s">
        <v>80</v>
      </c>
    </row>
    <row r="53" spans="1:6">
      <c r="A53">
        <v>2018</v>
      </c>
      <c r="B53" t="s">
        <v>43</v>
      </c>
      <c r="C53" t="s">
        <v>56</v>
      </c>
      <c r="D53" t="s">
        <v>18</v>
      </c>
      <c r="E53">
        <v>54.087</v>
      </c>
      <c r="F53" t="s">
        <v>80</v>
      </c>
    </row>
    <row r="54" spans="1:6">
      <c r="A54">
        <v>2018</v>
      </c>
      <c r="B54" t="s">
        <v>43</v>
      </c>
      <c r="C54" t="s">
        <v>56</v>
      </c>
      <c r="D54" t="s">
        <v>70</v>
      </c>
      <c r="E54">
        <v>107.193</v>
      </c>
      <c r="F54" t="s">
        <v>80</v>
      </c>
    </row>
    <row r="55" spans="1:6">
      <c r="A55">
        <v>2018</v>
      </c>
      <c r="B55" t="s">
        <v>43</v>
      </c>
      <c r="C55" t="s">
        <v>56</v>
      </c>
      <c r="D55" t="s">
        <v>23</v>
      </c>
      <c r="E55">
        <v>63.059</v>
      </c>
      <c r="F55" t="s">
        <v>80</v>
      </c>
    </row>
    <row r="56" spans="1:6">
      <c r="A56">
        <v>2018</v>
      </c>
      <c r="B56" t="s">
        <v>44</v>
      </c>
      <c r="C56" t="s">
        <v>56</v>
      </c>
      <c r="D56" t="s">
        <v>68</v>
      </c>
      <c r="E56">
        <v>243.273</v>
      </c>
      <c r="F56" t="s">
        <v>81</v>
      </c>
    </row>
    <row r="57" spans="1:6">
      <c r="A57">
        <v>2018</v>
      </c>
      <c r="B57" t="s">
        <v>44</v>
      </c>
      <c r="C57" t="s">
        <v>56</v>
      </c>
      <c r="D57" t="s">
        <v>17</v>
      </c>
      <c r="E57">
        <v>43.468</v>
      </c>
      <c r="F57" t="s">
        <v>81</v>
      </c>
    </row>
    <row r="58" spans="1:6">
      <c r="A58">
        <v>2018</v>
      </c>
      <c r="B58" t="s">
        <v>44</v>
      </c>
      <c r="C58" t="s">
        <v>56</v>
      </c>
      <c r="D58" t="s">
        <v>18</v>
      </c>
      <c r="E58">
        <v>38.964</v>
      </c>
      <c r="F58" t="s">
        <v>81</v>
      </c>
    </row>
    <row r="59" spans="1:6">
      <c r="A59">
        <v>2018</v>
      </c>
      <c r="B59" t="s">
        <v>44</v>
      </c>
      <c r="C59" t="s">
        <v>56</v>
      </c>
      <c r="D59" t="s">
        <v>70</v>
      </c>
      <c r="E59">
        <v>105.336</v>
      </c>
      <c r="F59" t="s">
        <v>81</v>
      </c>
    </row>
    <row r="60" spans="1:6">
      <c r="A60">
        <v>2018</v>
      </c>
      <c r="B60" t="s">
        <v>44</v>
      </c>
      <c r="C60" t="s">
        <v>56</v>
      </c>
      <c r="D60" t="s">
        <v>23</v>
      </c>
      <c r="E60">
        <v>56.111</v>
      </c>
      <c r="F60" t="s">
        <v>81</v>
      </c>
    </row>
    <row r="61" spans="1:6">
      <c r="A61">
        <v>2019</v>
      </c>
      <c r="B61" t="s">
        <v>46</v>
      </c>
      <c r="C61" t="s">
        <v>56</v>
      </c>
      <c r="D61" t="s">
        <v>68</v>
      </c>
      <c r="E61">
        <v>888.37</v>
      </c>
      <c r="F61" t="s">
        <v>82</v>
      </c>
    </row>
    <row r="62" spans="1:6">
      <c r="A62">
        <v>2019</v>
      </c>
      <c r="B62" t="s">
        <v>46</v>
      </c>
      <c r="C62" t="s">
        <v>56</v>
      </c>
      <c r="D62" t="s">
        <v>16</v>
      </c>
      <c r="E62">
        <v>178.618</v>
      </c>
      <c r="F62" t="s">
        <v>82</v>
      </c>
    </row>
    <row r="63" spans="1:6">
      <c r="A63">
        <v>2019</v>
      </c>
      <c r="B63" t="s">
        <v>46</v>
      </c>
      <c r="C63" t="s">
        <v>56</v>
      </c>
      <c r="D63" t="s">
        <v>73</v>
      </c>
      <c r="E63">
        <v>167.651</v>
      </c>
      <c r="F63" t="s">
        <v>82</v>
      </c>
    </row>
    <row r="64" spans="1:6">
      <c r="A64">
        <v>2019</v>
      </c>
      <c r="B64" t="s">
        <v>46</v>
      </c>
      <c r="C64" t="s">
        <v>56</v>
      </c>
      <c r="D64" t="s">
        <v>18</v>
      </c>
      <c r="E64">
        <v>143.081</v>
      </c>
      <c r="F64" t="s">
        <v>82</v>
      </c>
    </row>
    <row r="65" spans="1:6">
      <c r="A65">
        <v>2019</v>
      </c>
      <c r="B65" t="s">
        <v>46</v>
      </c>
      <c r="C65" t="s">
        <v>56</v>
      </c>
      <c r="D65" t="s">
        <v>22</v>
      </c>
      <c r="E65">
        <v>150.584</v>
      </c>
      <c r="F65" t="s">
        <v>82</v>
      </c>
    </row>
    <row r="66" spans="1:6">
      <c r="A66">
        <v>2019</v>
      </c>
      <c r="B66" t="s">
        <v>46</v>
      </c>
      <c r="C66" t="s">
        <v>56</v>
      </c>
      <c r="D66" t="s">
        <v>25</v>
      </c>
      <c r="E66">
        <v>371.469</v>
      </c>
      <c r="F66" t="s">
        <v>82</v>
      </c>
    </row>
    <row r="67" spans="1:6">
      <c r="A67">
        <v>2019</v>
      </c>
      <c r="B67" t="s">
        <v>42</v>
      </c>
      <c r="C67" t="s">
        <v>56</v>
      </c>
      <c r="D67" t="s">
        <v>68</v>
      </c>
      <c r="E67">
        <v>224.347</v>
      </c>
      <c r="F67" t="s">
        <v>83</v>
      </c>
    </row>
    <row r="68" spans="1:6">
      <c r="A68">
        <v>2019</v>
      </c>
      <c r="B68" t="s">
        <v>42</v>
      </c>
      <c r="C68" t="s">
        <v>56</v>
      </c>
      <c r="D68" t="s">
        <v>17</v>
      </c>
      <c r="E68">
        <v>35.802</v>
      </c>
      <c r="F68" t="s">
        <v>83</v>
      </c>
    </row>
    <row r="69" spans="1:6">
      <c r="A69">
        <v>2019</v>
      </c>
      <c r="B69" t="s">
        <v>42</v>
      </c>
      <c r="C69" t="s">
        <v>56</v>
      </c>
      <c r="D69" t="s">
        <v>18</v>
      </c>
      <c r="E69">
        <v>42.102</v>
      </c>
      <c r="F69" t="s">
        <v>83</v>
      </c>
    </row>
    <row r="70" spans="1:6">
      <c r="A70">
        <v>2019</v>
      </c>
      <c r="B70" t="s">
        <v>42</v>
      </c>
      <c r="C70" t="s">
        <v>56</v>
      </c>
      <c r="D70" t="s">
        <v>70</v>
      </c>
      <c r="E70">
        <v>101.327</v>
      </c>
      <c r="F70" t="s">
        <v>83</v>
      </c>
    </row>
    <row r="71" spans="1:6">
      <c r="A71">
        <v>2019</v>
      </c>
      <c r="B71" t="s">
        <v>42</v>
      </c>
      <c r="C71" t="s">
        <v>56</v>
      </c>
      <c r="D71" t="s">
        <v>23</v>
      </c>
      <c r="E71">
        <v>59.983</v>
      </c>
      <c r="F71" t="s">
        <v>83</v>
      </c>
    </row>
    <row r="72" spans="1:6">
      <c r="A72">
        <v>2019</v>
      </c>
      <c r="B72" t="s">
        <v>43</v>
      </c>
      <c r="C72" t="s">
        <v>56</v>
      </c>
      <c r="D72" t="s">
        <v>68</v>
      </c>
      <c r="E72">
        <v>217.549</v>
      </c>
      <c r="F72" t="s">
        <v>84</v>
      </c>
    </row>
    <row r="73" spans="1:6">
      <c r="A73">
        <v>2019</v>
      </c>
      <c r="B73" t="s">
        <v>43</v>
      </c>
      <c r="C73" t="s">
        <v>56</v>
      </c>
      <c r="D73" t="s">
        <v>16</v>
      </c>
      <c r="E73">
        <v>56.002</v>
      </c>
      <c r="F73" t="s">
        <v>84</v>
      </c>
    </row>
    <row r="74" spans="1:6">
      <c r="A74">
        <v>2019</v>
      </c>
      <c r="B74" t="s">
        <v>43</v>
      </c>
      <c r="C74" t="s">
        <v>56</v>
      </c>
      <c r="D74" t="s">
        <v>17</v>
      </c>
      <c r="E74">
        <v>38.896</v>
      </c>
      <c r="F74" t="s">
        <v>84</v>
      </c>
    </row>
    <row r="75" spans="1:6">
      <c r="A75">
        <v>2019</v>
      </c>
      <c r="B75" t="s">
        <v>43</v>
      </c>
      <c r="C75" t="s">
        <v>56</v>
      </c>
      <c r="D75" t="s">
        <v>18</v>
      </c>
      <c r="E75">
        <v>30.995</v>
      </c>
      <c r="F75" t="s">
        <v>84</v>
      </c>
    </row>
    <row r="76" spans="1:6">
      <c r="A76">
        <v>2019</v>
      </c>
      <c r="B76" t="s">
        <v>43</v>
      </c>
      <c r="C76" t="s">
        <v>56</v>
      </c>
      <c r="D76" t="s">
        <v>85</v>
      </c>
      <c r="E76">
        <v>72.426</v>
      </c>
      <c r="F76" t="s">
        <v>84</v>
      </c>
    </row>
    <row r="77" spans="1:6">
      <c r="A77">
        <v>2019</v>
      </c>
      <c r="B77" t="s">
        <v>43</v>
      </c>
      <c r="C77" t="s">
        <v>56</v>
      </c>
      <c r="D77" t="s">
        <v>23</v>
      </c>
      <c r="E77">
        <v>58.242</v>
      </c>
      <c r="F77" t="s">
        <v>84</v>
      </c>
    </row>
    <row r="78" spans="1:6">
      <c r="A78">
        <v>2019</v>
      </c>
      <c r="B78" t="s">
        <v>44</v>
      </c>
      <c r="C78" t="s">
        <v>56</v>
      </c>
      <c r="D78" t="s">
        <v>68</v>
      </c>
      <c r="E78">
        <v>211.116</v>
      </c>
      <c r="F78" t="s">
        <v>86</v>
      </c>
    </row>
    <row r="79" spans="1:6">
      <c r="A79">
        <v>2019</v>
      </c>
      <c r="B79" t="s">
        <v>44</v>
      </c>
      <c r="C79" t="s">
        <v>56</v>
      </c>
      <c r="D79" t="s">
        <v>16</v>
      </c>
      <c r="E79">
        <v>46.679</v>
      </c>
      <c r="F79" t="s">
        <v>86</v>
      </c>
    </row>
    <row r="80" spans="1:6">
      <c r="A80">
        <v>2019</v>
      </c>
      <c r="B80" t="s">
        <v>44</v>
      </c>
      <c r="C80" t="s">
        <v>56</v>
      </c>
      <c r="D80" t="s">
        <v>17</v>
      </c>
      <c r="E80">
        <v>41.313</v>
      </c>
      <c r="F80" t="s">
        <v>86</v>
      </c>
    </row>
    <row r="81" spans="1:6">
      <c r="A81">
        <v>2019</v>
      </c>
      <c r="B81" t="s">
        <v>44</v>
      </c>
      <c r="C81" t="s">
        <v>56</v>
      </c>
      <c r="D81" t="s">
        <v>18</v>
      </c>
      <c r="E81">
        <v>32.388</v>
      </c>
      <c r="F81" t="s">
        <v>86</v>
      </c>
    </row>
    <row r="82" spans="1:6">
      <c r="A82">
        <v>2019</v>
      </c>
      <c r="B82" t="s">
        <v>44</v>
      </c>
      <c r="C82" t="s">
        <v>56</v>
      </c>
      <c r="D82" t="s">
        <v>24</v>
      </c>
      <c r="E82">
        <v>77.36</v>
      </c>
      <c r="F82" t="s">
        <v>86</v>
      </c>
    </row>
    <row r="83" spans="1:6">
      <c r="A83">
        <v>2019</v>
      </c>
      <c r="B83" t="s">
        <v>44</v>
      </c>
      <c r="C83" t="s">
        <v>56</v>
      </c>
      <c r="D83" t="s">
        <v>23</v>
      </c>
      <c r="E83">
        <v>53.595</v>
      </c>
      <c r="F83" t="s">
        <v>86</v>
      </c>
    </row>
    <row r="84" spans="1:6">
      <c r="A84">
        <v>2020</v>
      </c>
      <c r="B84" t="s">
        <v>46</v>
      </c>
      <c r="C84" t="s">
        <v>56</v>
      </c>
      <c r="D84" t="s">
        <v>68</v>
      </c>
      <c r="E84">
        <v>1058.9</v>
      </c>
      <c r="F84" t="s">
        <v>87</v>
      </c>
    </row>
    <row r="85" spans="1:6">
      <c r="A85">
        <v>2020</v>
      </c>
      <c r="B85" t="s">
        <v>46</v>
      </c>
      <c r="C85" t="s">
        <v>56</v>
      </c>
      <c r="D85" t="s">
        <v>73</v>
      </c>
      <c r="E85">
        <v>278.8</v>
      </c>
      <c r="F85" t="s">
        <v>87</v>
      </c>
    </row>
    <row r="86" spans="1:6">
      <c r="A86">
        <v>2020</v>
      </c>
      <c r="B86" t="s">
        <v>46</v>
      </c>
      <c r="C86" t="s">
        <v>56</v>
      </c>
      <c r="D86" t="s">
        <v>16</v>
      </c>
      <c r="E86">
        <v>273.5</v>
      </c>
      <c r="F86" t="s">
        <v>87</v>
      </c>
    </row>
    <row r="87" spans="1:6">
      <c r="A87">
        <v>2020</v>
      </c>
      <c r="B87" t="s">
        <v>46</v>
      </c>
      <c r="C87" t="s">
        <v>56</v>
      </c>
      <c r="D87" t="s">
        <v>24</v>
      </c>
      <c r="E87">
        <v>519.6</v>
      </c>
      <c r="F87" t="s">
        <v>87</v>
      </c>
    </row>
    <row r="88" spans="1:6">
      <c r="A88">
        <v>2020</v>
      </c>
      <c r="B88" t="s">
        <v>46</v>
      </c>
      <c r="C88" t="s">
        <v>56</v>
      </c>
      <c r="D88" t="s">
        <v>23</v>
      </c>
      <c r="E88">
        <v>199.2</v>
      </c>
      <c r="F88" t="s">
        <v>87</v>
      </c>
    </row>
    <row r="89" spans="1:6">
      <c r="A89">
        <v>2020</v>
      </c>
      <c r="B89" t="s">
        <v>42</v>
      </c>
      <c r="C89" t="s">
        <v>56</v>
      </c>
      <c r="D89" t="s">
        <v>68</v>
      </c>
      <c r="E89">
        <v>231.5</v>
      </c>
      <c r="F89" t="s">
        <v>88</v>
      </c>
    </row>
    <row r="90" spans="1:6">
      <c r="A90">
        <v>2020</v>
      </c>
      <c r="B90" t="s">
        <v>42</v>
      </c>
      <c r="C90" t="s">
        <v>56</v>
      </c>
      <c r="D90" t="s">
        <v>73</v>
      </c>
      <c r="E90">
        <v>76</v>
      </c>
      <c r="F90" t="s">
        <v>88</v>
      </c>
    </row>
    <row r="91" spans="1:6">
      <c r="A91">
        <v>2020</v>
      </c>
      <c r="B91" t="s">
        <v>42</v>
      </c>
      <c r="C91" t="s">
        <v>56</v>
      </c>
      <c r="D91" t="s">
        <v>16</v>
      </c>
      <c r="E91">
        <v>49.7</v>
      </c>
      <c r="F91" t="s">
        <v>88</v>
      </c>
    </row>
    <row r="92" spans="1:6">
      <c r="A92">
        <v>2020</v>
      </c>
      <c r="B92" t="s">
        <v>42</v>
      </c>
      <c r="C92" t="s">
        <v>56</v>
      </c>
      <c r="D92" t="s">
        <v>18</v>
      </c>
      <c r="E92">
        <v>39.9</v>
      </c>
      <c r="F92" t="s">
        <v>88</v>
      </c>
    </row>
    <row r="93" spans="1:6">
      <c r="A93">
        <v>2020</v>
      </c>
      <c r="B93" t="s">
        <v>42</v>
      </c>
      <c r="C93" t="s">
        <v>56</v>
      </c>
      <c r="D93" t="s">
        <v>22</v>
      </c>
      <c r="E93">
        <v>34.5</v>
      </c>
      <c r="F93" t="s">
        <v>88</v>
      </c>
    </row>
    <row r="94" spans="1:6">
      <c r="A94">
        <v>2020</v>
      </c>
      <c r="B94" t="s">
        <v>42</v>
      </c>
      <c r="C94" t="s">
        <v>56</v>
      </c>
      <c r="D94" t="s">
        <v>25</v>
      </c>
      <c r="E94">
        <v>104.1</v>
      </c>
      <c r="F94" t="s">
        <v>88</v>
      </c>
    </row>
    <row r="95" spans="1:6">
      <c r="A95">
        <v>2020</v>
      </c>
      <c r="B95" t="s">
        <v>43</v>
      </c>
      <c r="C95" t="s">
        <v>56</v>
      </c>
      <c r="D95" t="s">
        <v>68</v>
      </c>
      <c r="E95">
        <v>245</v>
      </c>
      <c r="F95" t="s">
        <v>89</v>
      </c>
    </row>
    <row r="96" spans="1:6">
      <c r="A96">
        <v>2020</v>
      </c>
      <c r="B96" t="s">
        <v>43</v>
      </c>
      <c r="C96" t="s">
        <v>56</v>
      </c>
      <c r="D96" t="s">
        <v>73</v>
      </c>
      <c r="E96">
        <v>65</v>
      </c>
      <c r="F96" t="s">
        <v>89</v>
      </c>
    </row>
    <row r="97" spans="1:6">
      <c r="A97">
        <v>2020</v>
      </c>
      <c r="B97" t="s">
        <v>43</v>
      </c>
      <c r="C97" t="s">
        <v>56</v>
      </c>
      <c r="D97" t="s">
        <v>16</v>
      </c>
      <c r="E97">
        <v>75.2</v>
      </c>
      <c r="F97" t="s">
        <v>89</v>
      </c>
    </row>
    <row r="98" spans="1:6">
      <c r="A98">
        <v>2020</v>
      </c>
      <c r="B98" t="s">
        <v>43</v>
      </c>
      <c r="C98" t="s">
        <v>56</v>
      </c>
      <c r="D98" t="s">
        <v>18</v>
      </c>
      <c r="E98">
        <v>37.3</v>
      </c>
      <c r="F98" t="s">
        <v>89</v>
      </c>
    </row>
    <row r="99" spans="1:6">
      <c r="A99">
        <v>2020</v>
      </c>
      <c r="B99" t="s">
        <v>43</v>
      </c>
      <c r="C99" t="s">
        <v>56</v>
      </c>
      <c r="D99" t="s">
        <v>22</v>
      </c>
      <c r="E99">
        <v>30.4</v>
      </c>
      <c r="F99" t="s">
        <v>89</v>
      </c>
    </row>
    <row r="100" spans="1:6">
      <c r="A100">
        <v>2020</v>
      </c>
      <c r="B100" t="s">
        <v>43</v>
      </c>
      <c r="C100" t="s">
        <v>56</v>
      </c>
      <c r="D100" t="s">
        <v>25</v>
      </c>
      <c r="E100">
        <v>91.4</v>
      </c>
      <c r="F100" t="s">
        <v>89</v>
      </c>
    </row>
    <row r="101" spans="1:6">
      <c r="A101">
        <v>2021</v>
      </c>
      <c r="B101" t="s">
        <v>42</v>
      </c>
      <c r="C101" t="s">
        <v>56</v>
      </c>
      <c r="D101" t="s">
        <v>68</v>
      </c>
      <c r="E101">
        <v>282.8</v>
      </c>
      <c r="F101" t="s">
        <v>90</v>
      </c>
    </row>
    <row r="102" spans="1:6">
      <c r="A102">
        <v>2021</v>
      </c>
      <c r="B102" t="s">
        <v>42</v>
      </c>
      <c r="C102" t="s">
        <v>56</v>
      </c>
      <c r="D102" t="s">
        <v>73</v>
      </c>
      <c r="E102">
        <v>97.9</v>
      </c>
      <c r="F102" t="s">
        <v>90</v>
      </c>
    </row>
    <row r="103" spans="1:6">
      <c r="A103">
        <v>2021</v>
      </c>
      <c r="B103" t="s">
        <v>42</v>
      </c>
      <c r="C103" t="s">
        <v>56</v>
      </c>
      <c r="D103" t="s">
        <v>16</v>
      </c>
      <c r="E103">
        <v>81.3</v>
      </c>
      <c r="F103" t="s">
        <v>90</v>
      </c>
    </row>
    <row r="104" spans="1:6">
      <c r="A104">
        <v>2021</v>
      </c>
      <c r="B104" t="s">
        <v>42</v>
      </c>
      <c r="C104" t="s">
        <v>56</v>
      </c>
      <c r="D104" t="s">
        <v>19</v>
      </c>
      <c r="E104">
        <v>59.4</v>
      </c>
      <c r="F104" t="s">
        <v>90</v>
      </c>
    </row>
    <row r="105" spans="1:6">
      <c r="A105">
        <v>2021</v>
      </c>
      <c r="B105" t="s">
        <v>42</v>
      </c>
      <c r="C105" t="s">
        <v>56</v>
      </c>
      <c r="D105" t="s">
        <v>18</v>
      </c>
      <c r="E105">
        <v>48</v>
      </c>
      <c r="F105" t="s">
        <v>90</v>
      </c>
    </row>
    <row r="106" spans="1:6">
      <c r="A106">
        <v>2021</v>
      </c>
      <c r="B106" t="s">
        <v>42</v>
      </c>
      <c r="C106" t="s">
        <v>56</v>
      </c>
      <c r="D106" t="s">
        <v>24</v>
      </c>
      <c r="E106">
        <v>70.1</v>
      </c>
      <c r="F106" t="s">
        <v>90</v>
      </c>
    </row>
    <row r="107" spans="1:6">
      <c r="A107">
        <v>2021</v>
      </c>
      <c r="B107" t="s">
        <v>42</v>
      </c>
      <c r="C107" t="s">
        <v>56</v>
      </c>
      <c r="D107" t="s">
        <v>23</v>
      </c>
      <c r="E107">
        <v>54.4</v>
      </c>
      <c r="F107" t="s">
        <v>90</v>
      </c>
    </row>
    <row r="108" spans="1:6">
      <c r="A108">
        <v>2021</v>
      </c>
      <c r="B108" t="s">
        <v>43</v>
      </c>
      <c r="C108" t="s">
        <v>56</v>
      </c>
      <c r="D108" t="s">
        <v>68</v>
      </c>
      <c r="E108">
        <v>291.5</v>
      </c>
      <c r="F108" t="s">
        <v>91</v>
      </c>
    </row>
    <row r="109" spans="1:6">
      <c r="A109">
        <v>2021</v>
      </c>
      <c r="B109" t="s">
        <v>43</v>
      </c>
      <c r="C109" t="s">
        <v>56</v>
      </c>
      <c r="D109" t="s">
        <v>73</v>
      </c>
      <c r="E109">
        <v>104.1</v>
      </c>
      <c r="F109" t="s">
        <v>91</v>
      </c>
    </row>
    <row r="110" spans="1:6">
      <c r="A110">
        <v>2021</v>
      </c>
      <c r="B110" t="s">
        <v>43</v>
      </c>
      <c r="C110" t="s">
        <v>56</v>
      </c>
      <c r="D110" t="s">
        <v>16</v>
      </c>
      <c r="E110">
        <v>101.8</v>
      </c>
      <c r="F110" t="s">
        <v>91</v>
      </c>
    </row>
    <row r="111" spans="1:6">
      <c r="A111">
        <v>2021</v>
      </c>
      <c r="B111" t="s">
        <v>43</v>
      </c>
      <c r="C111" t="s">
        <v>56</v>
      </c>
      <c r="D111" t="s">
        <v>19</v>
      </c>
      <c r="E111">
        <v>61.3</v>
      </c>
      <c r="F111" t="s">
        <v>91</v>
      </c>
    </row>
    <row r="112" spans="1:6">
      <c r="A112">
        <v>2021</v>
      </c>
      <c r="B112" t="s">
        <v>43</v>
      </c>
      <c r="C112" t="s">
        <v>56</v>
      </c>
      <c r="D112" t="s">
        <v>18</v>
      </c>
      <c r="E112">
        <v>46.3</v>
      </c>
      <c r="F112" t="s">
        <v>91</v>
      </c>
    </row>
    <row r="113" spans="1:6">
      <c r="A113">
        <v>2021</v>
      </c>
      <c r="B113" t="s">
        <v>43</v>
      </c>
      <c r="C113" t="s">
        <v>56</v>
      </c>
      <c r="D113" t="s">
        <v>24</v>
      </c>
      <c r="E113">
        <v>84.3</v>
      </c>
      <c r="F113" t="s">
        <v>91</v>
      </c>
    </row>
    <row r="114" spans="1:6">
      <c r="A114">
        <v>2021</v>
      </c>
      <c r="B114" t="s">
        <v>43</v>
      </c>
      <c r="C114" t="s">
        <v>56</v>
      </c>
      <c r="D114" t="s">
        <v>23</v>
      </c>
      <c r="E114">
        <v>60.6</v>
      </c>
      <c r="F114" t="s">
        <v>91</v>
      </c>
    </row>
    <row r="115" spans="1:6">
      <c r="A115">
        <v>2021</v>
      </c>
      <c r="B115" t="s">
        <v>44</v>
      </c>
      <c r="C115" t="s">
        <v>56</v>
      </c>
      <c r="D115" t="s">
        <v>68</v>
      </c>
      <c r="E115">
        <v>348.4</v>
      </c>
      <c r="F115" t="s">
        <v>92</v>
      </c>
    </row>
    <row r="116" spans="1:6">
      <c r="A116">
        <v>2021</v>
      </c>
      <c r="B116" t="s">
        <v>44</v>
      </c>
      <c r="C116" t="s">
        <v>56</v>
      </c>
      <c r="D116" t="s">
        <v>73</v>
      </c>
      <c r="E116">
        <v>90.6</v>
      </c>
      <c r="F116" t="s">
        <v>92</v>
      </c>
    </row>
    <row r="117" spans="1:6">
      <c r="A117">
        <v>2021</v>
      </c>
      <c r="B117" t="s">
        <v>44</v>
      </c>
      <c r="C117" t="s">
        <v>56</v>
      </c>
      <c r="D117" t="s">
        <v>16</v>
      </c>
      <c r="E117">
        <v>80.4</v>
      </c>
      <c r="F117" t="s">
        <v>92</v>
      </c>
    </row>
    <row r="118" spans="1:6">
      <c r="A118">
        <v>2021</v>
      </c>
      <c r="B118" t="s">
        <v>44</v>
      </c>
      <c r="C118" t="s">
        <v>56</v>
      </c>
      <c r="D118" t="s">
        <v>19</v>
      </c>
      <c r="E118">
        <v>44.1</v>
      </c>
      <c r="F118" t="s">
        <v>92</v>
      </c>
    </row>
    <row r="119" spans="1:6">
      <c r="A119">
        <v>2021</v>
      </c>
      <c r="B119" t="s">
        <v>44</v>
      </c>
      <c r="C119" t="s">
        <v>56</v>
      </c>
      <c r="D119" t="s">
        <v>18</v>
      </c>
      <c r="E119">
        <v>46.9</v>
      </c>
      <c r="F119" t="s">
        <v>92</v>
      </c>
    </row>
    <row r="120" spans="1:6">
      <c r="A120">
        <v>2021</v>
      </c>
      <c r="B120" t="s">
        <v>44</v>
      </c>
      <c r="C120" t="s">
        <v>56</v>
      </c>
      <c r="D120" t="s">
        <v>24</v>
      </c>
      <c r="E120">
        <v>74</v>
      </c>
      <c r="F120" t="s">
        <v>92</v>
      </c>
    </row>
    <row r="121" spans="1:6">
      <c r="A121">
        <v>2021</v>
      </c>
      <c r="B121" t="s">
        <v>44</v>
      </c>
      <c r="C121" t="s">
        <v>56</v>
      </c>
      <c r="D121" t="s">
        <v>23</v>
      </c>
      <c r="E121">
        <v>57.5</v>
      </c>
      <c r="F121" t="s">
        <v>92</v>
      </c>
    </row>
    <row r="122" spans="1:6">
      <c r="A122">
        <v>2022</v>
      </c>
      <c r="B122" t="s">
        <v>46</v>
      </c>
      <c r="C122" t="s">
        <v>60</v>
      </c>
      <c r="D122" t="s">
        <v>93</v>
      </c>
      <c r="E122">
        <v>1966</v>
      </c>
      <c r="F122" t="s">
        <v>94</v>
      </c>
    </row>
    <row r="123" spans="1:6">
      <c r="A123">
        <v>2022</v>
      </c>
      <c r="B123" t="s">
        <v>46</v>
      </c>
      <c r="C123" t="s">
        <v>60</v>
      </c>
      <c r="D123" t="s">
        <v>95</v>
      </c>
      <c r="E123">
        <v>1064</v>
      </c>
      <c r="F123" t="s">
        <v>94</v>
      </c>
    </row>
    <row r="124" spans="1:6">
      <c r="A124">
        <v>2022</v>
      </c>
      <c r="B124" t="s">
        <v>46</v>
      </c>
      <c r="C124" t="s">
        <v>60</v>
      </c>
      <c r="D124" t="s">
        <v>96</v>
      </c>
      <c r="E124">
        <v>517</v>
      </c>
      <c r="F124" t="s">
        <v>94</v>
      </c>
    </row>
    <row r="125" spans="1:6">
      <c r="A125">
        <v>2022</v>
      </c>
      <c r="B125" t="s">
        <v>46</v>
      </c>
      <c r="C125" t="s">
        <v>56</v>
      </c>
      <c r="D125" t="s">
        <v>68</v>
      </c>
      <c r="E125">
        <v>1479</v>
      </c>
      <c r="F125" t="s">
        <v>94</v>
      </c>
    </row>
    <row r="126" spans="1:6">
      <c r="A126">
        <v>2022</v>
      </c>
      <c r="B126" t="s">
        <v>46</v>
      </c>
      <c r="C126" t="s">
        <v>56</v>
      </c>
      <c r="D126" t="s">
        <v>16</v>
      </c>
      <c r="E126">
        <v>497</v>
      </c>
      <c r="F126" t="s">
        <v>94</v>
      </c>
    </row>
    <row r="127" spans="1:6">
      <c r="A127">
        <v>2022</v>
      </c>
      <c r="B127" t="s">
        <v>46</v>
      </c>
      <c r="C127" t="s">
        <v>56</v>
      </c>
      <c r="D127" t="s">
        <v>73</v>
      </c>
      <c r="E127">
        <v>360</v>
      </c>
      <c r="F127" t="s">
        <v>94</v>
      </c>
    </row>
    <row r="128" spans="1:6">
      <c r="A128">
        <v>2022</v>
      </c>
      <c r="B128" t="s">
        <v>46</v>
      </c>
      <c r="C128" t="s">
        <v>56</v>
      </c>
      <c r="D128" t="s">
        <v>22</v>
      </c>
      <c r="E128">
        <v>243</v>
      </c>
      <c r="F128" t="s">
        <v>94</v>
      </c>
    </row>
    <row r="129" spans="1:6">
      <c r="A129">
        <v>2022</v>
      </c>
      <c r="B129" t="s">
        <v>46</v>
      </c>
      <c r="C129" t="s">
        <v>56</v>
      </c>
      <c r="D129" t="s">
        <v>25</v>
      </c>
      <c r="E129">
        <v>968</v>
      </c>
      <c r="F129" t="s">
        <v>94</v>
      </c>
    </row>
    <row r="130" spans="1:6">
      <c r="A130">
        <v>2022</v>
      </c>
      <c r="B130" t="s">
        <v>44</v>
      </c>
      <c r="C130" t="s">
        <v>56</v>
      </c>
      <c r="D130" t="s">
        <v>68</v>
      </c>
      <c r="E130">
        <v>393</v>
      </c>
      <c r="F130" t="s">
        <v>97</v>
      </c>
    </row>
    <row r="131" spans="1:6">
      <c r="A131">
        <v>2022</v>
      </c>
      <c r="B131" t="s">
        <v>44</v>
      </c>
      <c r="C131" t="s">
        <v>56</v>
      </c>
      <c r="D131" t="s">
        <v>16</v>
      </c>
      <c r="E131">
        <v>135</v>
      </c>
      <c r="F131" t="s">
        <v>97</v>
      </c>
    </row>
    <row r="132" spans="1:6">
      <c r="A132">
        <v>2022</v>
      </c>
      <c r="B132" t="s">
        <v>44</v>
      </c>
      <c r="C132" t="s">
        <v>56</v>
      </c>
      <c r="D132" t="s">
        <v>22</v>
      </c>
      <c r="E132">
        <v>100</v>
      </c>
      <c r="F132" t="s">
        <v>97</v>
      </c>
    </row>
    <row r="133" spans="1:6">
      <c r="A133">
        <v>2022</v>
      </c>
      <c r="B133" t="s">
        <v>44</v>
      </c>
      <c r="C133" t="s">
        <v>56</v>
      </c>
      <c r="D133" t="s">
        <v>73</v>
      </c>
      <c r="E133">
        <v>82</v>
      </c>
      <c r="F133" t="s">
        <v>97</v>
      </c>
    </row>
    <row r="134" spans="1:6">
      <c r="A134">
        <v>2022</v>
      </c>
      <c r="B134" t="s">
        <v>44</v>
      </c>
      <c r="C134" t="s">
        <v>56</v>
      </c>
      <c r="D134" t="s">
        <v>25</v>
      </c>
      <c r="E134">
        <v>244</v>
      </c>
      <c r="F134" t="s">
        <v>97</v>
      </c>
    </row>
    <row r="135" spans="1:6">
      <c r="A135">
        <v>2022</v>
      </c>
      <c r="B135" t="s">
        <v>44</v>
      </c>
      <c r="C135" t="s">
        <v>60</v>
      </c>
      <c r="D135" t="s">
        <v>93</v>
      </c>
      <c r="E135">
        <v>510</v>
      </c>
      <c r="F135" t="s">
        <v>97</v>
      </c>
    </row>
    <row r="136" spans="1:6">
      <c r="A136">
        <v>2022</v>
      </c>
      <c r="B136" t="s">
        <v>44</v>
      </c>
      <c r="C136" t="s">
        <v>60</v>
      </c>
      <c r="D136" t="s">
        <v>95</v>
      </c>
      <c r="E136">
        <v>267</v>
      </c>
      <c r="F136" t="s">
        <v>97</v>
      </c>
    </row>
    <row r="137" spans="1:6">
      <c r="A137">
        <v>2022</v>
      </c>
      <c r="B137" t="s">
        <v>44</v>
      </c>
      <c r="C137" t="s">
        <v>60</v>
      </c>
      <c r="D137" t="s">
        <v>96</v>
      </c>
      <c r="E137">
        <v>177</v>
      </c>
      <c r="F137" t="s">
        <v>97</v>
      </c>
    </row>
    <row r="138" spans="1:6">
      <c r="A138">
        <v>2023</v>
      </c>
      <c r="B138" t="s">
        <v>46</v>
      </c>
      <c r="C138" t="s">
        <v>58</v>
      </c>
      <c r="D138" t="s">
        <v>26</v>
      </c>
      <c r="E138">
        <v>1479</v>
      </c>
      <c r="F138" t="s">
        <v>98</v>
      </c>
    </row>
    <row r="139" spans="1:6">
      <c r="A139">
        <v>2023</v>
      </c>
      <c r="B139" t="s">
        <v>46</v>
      </c>
      <c r="C139" t="s">
        <v>58</v>
      </c>
      <c r="D139" t="s">
        <v>27</v>
      </c>
      <c r="E139">
        <v>916</v>
      </c>
      <c r="F139" t="s">
        <v>98</v>
      </c>
    </row>
    <row r="140" spans="1:6">
      <c r="A140">
        <v>2023</v>
      </c>
      <c r="B140" t="s">
        <v>46</v>
      </c>
      <c r="C140" t="s">
        <v>58</v>
      </c>
      <c r="D140" t="s">
        <v>29</v>
      </c>
      <c r="E140">
        <v>1227</v>
      </c>
      <c r="F140" t="s">
        <v>98</v>
      </c>
    </row>
    <row r="141" spans="1:6">
      <c r="A141">
        <v>2023</v>
      </c>
      <c r="B141" t="s">
        <v>46</v>
      </c>
      <c r="C141" t="s">
        <v>60</v>
      </c>
      <c r="D141" t="s">
        <v>93</v>
      </c>
      <c r="E141">
        <v>1404</v>
      </c>
      <c r="F141" t="s">
        <v>98</v>
      </c>
    </row>
    <row r="142" spans="1:6">
      <c r="A142">
        <v>2023</v>
      </c>
      <c r="B142" t="s">
        <v>46</v>
      </c>
      <c r="C142" t="s">
        <v>60</v>
      </c>
      <c r="D142" t="s">
        <v>95</v>
      </c>
      <c r="E142">
        <v>1012</v>
      </c>
      <c r="F142" t="s">
        <v>98</v>
      </c>
    </row>
    <row r="143" spans="1:6">
      <c r="A143">
        <v>2023</v>
      </c>
      <c r="B143" t="s">
        <v>46</v>
      </c>
      <c r="C143" t="s">
        <v>60</v>
      </c>
      <c r="D143" t="s">
        <v>96</v>
      </c>
      <c r="E143">
        <v>1206</v>
      </c>
      <c r="F143" t="s">
        <v>98</v>
      </c>
    </row>
    <row r="144" spans="1:6">
      <c r="A144">
        <v>2023</v>
      </c>
      <c r="B144" t="s">
        <v>46</v>
      </c>
      <c r="C144" t="s">
        <v>56</v>
      </c>
      <c r="D144" t="s">
        <v>68</v>
      </c>
      <c r="E144">
        <v>1227</v>
      </c>
      <c r="F144" t="s">
        <v>98</v>
      </c>
    </row>
    <row r="145" spans="1:6">
      <c r="A145">
        <v>2023</v>
      </c>
      <c r="B145" t="s">
        <v>46</v>
      </c>
      <c r="C145" t="s">
        <v>56</v>
      </c>
      <c r="D145" t="s">
        <v>16</v>
      </c>
      <c r="E145">
        <v>680</v>
      </c>
      <c r="F145" t="s">
        <v>98</v>
      </c>
    </row>
    <row r="146" spans="1:6">
      <c r="A146">
        <v>2023</v>
      </c>
      <c r="B146" t="s">
        <v>46</v>
      </c>
      <c r="C146" t="s">
        <v>56</v>
      </c>
      <c r="D146" t="s">
        <v>73</v>
      </c>
      <c r="E146">
        <v>343</v>
      </c>
      <c r="F146" t="s">
        <v>98</v>
      </c>
    </row>
    <row r="147" spans="1:6">
      <c r="A147">
        <v>2023</v>
      </c>
      <c r="B147" t="s">
        <v>46</v>
      </c>
      <c r="C147" t="s">
        <v>56</v>
      </c>
      <c r="D147" t="s">
        <v>18</v>
      </c>
      <c r="E147">
        <v>254</v>
      </c>
      <c r="F147" t="s">
        <v>98</v>
      </c>
    </row>
    <row r="148" spans="1:6">
      <c r="A148">
        <v>2023</v>
      </c>
      <c r="B148" t="s">
        <v>46</v>
      </c>
      <c r="C148" t="s">
        <v>56</v>
      </c>
      <c r="D148" t="s">
        <v>22</v>
      </c>
      <c r="E148">
        <v>236</v>
      </c>
      <c r="F148" t="s">
        <v>98</v>
      </c>
    </row>
    <row r="149" spans="1:6">
      <c r="A149">
        <v>2023</v>
      </c>
      <c r="B149" t="s">
        <v>46</v>
      </c>
      <c r="C149" t="s">
        <v>56</v>
      </c>
      <c r="D149" t="s">
        <v>25</v>
      </c>
      <c r="E149">
        <v>882</v>
      </c>
      <c r="F149" t="s">
        <v>98</v>
      </c>
    </row>
    <row r="150" spans="1:6">
      <c r="A150">
        <v>2023</v>
      </c>
      <c r="B150" t="s">
        <v>42</v>
      </c>
      <c r="C150" t="s">
        <v>56</v>
      </c>
      <c r="D150" t="s">
        <v>68</v>
      </c>
      <c r="E150">
        <v>254</v>
      </c>
      <c r="F150" t="s">
        <v>99</v>
      </c>
    </row>
    <row r="151" spans="1:6">
      <c r="A151">
        <v>2023</v>
      </c>
      <c r="B151" t="s">
        <v>42</v>
      </c>
      <c r="C151" t="s">
        <v>56</v>
      </c>
      <c r="D151" t="s">
        <v>16</v>
      </c>
      <c r="E151">
        <v>147</v>
      </c>
      <c r="F151" t="s">
        <v>99</v>
      </c>
    </row>
    <row r="152" spans="1:6">
      <c r="A152">
        <v>2023</v>
      </c>
      <c r="B152" t="s">
        <v>42</v>
      </c>
      <c r="C152" t="s">
        <v>56</v>
      </c>
      <c r="D152" t="s">
        <v>73</v>
      </c>
      <c r="E152">
        <v>74</v>
      </c>
      <c r="F152" t="s">
        <v>99</v>
      </c>
    </row>
    <row r="153" spans="1:6">
      <c r="A153">
        <v>2023</v>
      </c>
      <c r="B153" t="s">
        <v>42</v>
      </c>
      <c r="C153" t="s">
        <v>56</v>
      </c>
      <c r="D153" t="s">
        <v>22</v>
      </c>
      <c r="E153">
        <v>73</v>
      </c>
      <c r="F153" t="s">
        <v>99</v>
      </c>
    </row>
    <row r="154" spans="1:6">
      <c r="A154">
        <v>2023</v>
      </c>
      <c r="B154" t="s">
        <v>42</v>
      </c>
      <c r="C154" t="s">
        <v>56</v>
      </c>
      <c r="D154" t="s">
        <v>25</v>
      </c>
      <c r="E154">
        <v>246</v>
      </c>
      <c r="F154" t="s">
        <v>99</v>
      </c>
    </row>
    <row r="155" spans="1:6">
      <c r="A155">
        <v>2023</v>
      </c>
      <c r="B155" t="s">
        <v>42</v>
      </c>
      <c r="C155" t="s">
        <v>58</v>
      </c>
      <c r="D155" t="s">
        <v>26</v>
      </c>
      <c r="E155">
        <v>309</v>
      </c>
      <c r="F155" t="s">
        <v>99</v>
      </c>
    </row>
    <row r="156" spans="1:6">
      <c r="A156">
        <v>2023</v>
      </c>
      <c r="B156" t="s">
        <v>42</v>
      </c>
      <c r="C156" t="s">
        <v>58</v>
      </c>
      <c r="D156" t="s">
        <v>27</v>
      </c>
      <c r="E156">
        <v>222</v>
      </c>
      <c r="F156" t="s">
        <v>99</v>
      </c>
    </row>
    <row r="157" spans="1:6">
      <c r="A157">
        <v>2023</v>
      </c>
      <c r="B157" t="s">
        <v>42</v>
      </c>
      <c r="C157" t="s">
        <v>58</v>
      </c>
      <c r="D157" t="s">
        <v>29</v>
      </c>
      <c r="E157">
        <v>263</v>
      </c>
      <c r="F157" t="s">
        <v>99</v>
      </c>
    </row>
    <row r="158" spans="1:6">
      <c r="A158">
        <v>2023</v>
      </c>
      <c r="B158" t="s">
        <v>42</v>
      </c>
      <c r="C158" t="s">
        <v>60</v>
      </c>
      <c r="D158" t="s">
        <v>93</v>
      </c>
      <c r="E158">
        <v>293</v>
      </c>
      <c r="F158" t="s">
        <v>99</v>
      </c>
    </row>
    <row r="159" spans="1:6">
      <c r="A159">
        <v>2023</v>
      </c>
      <c r="B159" t="s">
        <v>42</v>
      </c>
      <c r="C159" t="s">
        <v>60</v>
      </c>
      <c r="D159" t="s">
        <v>95</v>
      </c>
      <c r="E159">
        <v>197</v>
      </c>
      <c r="F159" t="s">
        <v>99</v>
      </c>
    </row>
    <row r="160" spans="1:6">
      <c r="A160">
        <v>2023</v>
      </c>
      <c r="B160" t="s">
        <v>42</v>
      </c>
      <c r="C160" t="s">
        <v>60</v>
      </c>
      <c r="D160" t="s">
        <v>96</v>
      </c>
      <c r="E160">
        <v>304</v>
      </c>
      <c r="F160" t="s">
        <v>99</v>
      </c>
    </row>
    <row r="161" spans="1:6">
      <c r="A161">
        <v>2023</v>
      </c>
      <c r="B161" t="s">
        <v>43</v>
      </c>
      <c r="C161" t="s">
        <v>56</v>
      </c>
      <c r="D161" t="s">
        <v>68</v>
      </c>
      <c r="E161">
        <v>366</v>
      </c>
      <c r="F161" t="s">
        <v>100</v>
      </c>
    </row>
    <row r="162" spans="1:6">
      <c r="A162">
        <v>2023</v>
      </c>
      <c r="B162" t="s">
        <v>43</v>
      </c>
      <c r="C162" t="s">
        <v>56</v>
      </c>
      <c r="D162" t="s">
        <v>16</v>
      </c>
      <c r="E162">
        <v>175</v>
      </c>
      <c r="F162" t="s">
        <v>100</v>
      </c>
    </row>
    <row r="163" spans="1:6">
      <c r="A163">
        <v>2023</v>
      </c>
      <c r="B163" t="s">
        <v>43</v>
      </c>
      <c r="C163" t="s">
        <v>56</v>
      </c>
      <c r="D163" t="s">
        <v>73</v>
      </c>
      <c r="E163">
        <v>87</v>
      </c>
      <c r="F163" t="s">
        <v>100</v>
      </c>
    </row>
    <row r="164" spans="1:6">
      <c r="A164">
        <v>2023</v>
      </c>
      <c r="B164" t="s">
        <v>43</v>
      </c>
      <c r="C164" t="s">
        <v>56</v>
      </c>
      <c r="D164" t="s">
        <v>22</v>
      </c>
      <c r="E164">
        <v>65</v>
      </c>
      <c r="F164" t="s">
        <v>100</v>
      </c>
    </row>
    <row r="165" spans="1:6">
      <c r="A165">
        <v>2023</v>
      </c>
      <c r="B165" t="s">
        <v>43</v>
      </c>
      <c r="C165" t="s">
        <v>56</v>
      </c>
      <c r="D165" t="s">
        <v>25</v>
      </c>
      <c r="E165">
        <v>310</v>
      </c>
      <c r="F165" t="s">
        <v>100</v>
      </c>
    </row>
    <row r="166" spans="1:6">
      <c r="A166">
        <v>2023</v>
      </c>
      <c r="B166" t="s">
        <v>43</v>
      </c>
      <c r="C166" t="s">
        <v>58</v>
      </c>
      <c r="D166" t="s">
        <v>26</v>
      </c>
      <c r="E166">
        <v>441</v>
      </c>
      <c r="F166" t="s">
        <v>100</v>
      </c>
    </row>
    <row r="167" spans="1:6">
      <c r="A167">
        <v>2023</v>
      </c>
      <c r="B167" t="s">
        <v>43</v>
      </c>
      <c r="C167" t="s">
        <v>58</v>
      </c>
      <c r="D167" t="s">
        <v>27</v>
      </c>
      <c r="E167">
        <v>225</v>
      </c>
      <c r="F167" t="s">
        <v>100</v>
      </c>
    </row>
    <row r="168" spans="1:6">
      <c r="A168">
        <v>2023</v>
      </c>
      <c r="B168" t="s">
        <v>43</v>
      </c>
      <c r="C168" t="s">
        <v>58</v>
      </c>
      <c r="D168" t="s">
        <v>29</v>
      </c>
      <c r="E168">
        <v>337</v>
      </c>
      <c r="F168" t="s">
        <v>100</v>
      </c>
    </row>
    <row r="169" spans="1:6">
      <c r="A169">
        <v>2023</v>
      </c>
      <c r="B169" t="s">
        <v>43</v>
      </c>
      <c r="C169" t="s">
        <v>60</v>
      </c>
      <c r="D169" t="s">
        <v>93</v>
      </c>
      <c r="E169">
        <v>426</v>
      </c>
      <c r="F169" t="s">
        <v>100</v>
      </c>
    </row>
    <row r="170" spans="1:6">
      <c r="A170">
        <v>2023</v>
      </c>
      <c r="B170" t="s">
        <v>43</v>
      </c>
      <c r="C170" t="s">
        <v>60</v>
      </c>
      <c r="D170" t="s">
        <v>95</v>
      </c>
      <c r="E170">
        <v>279</v>
      </c>
      <c r="F170" t="s">
        <v>100</v>
      </c>
    </row>
    <row r="171" spans="1:6">
      <c r="A171">
        <v>2023</v>
      </c>
      <c r="B171" t="s">
        <v>43</v>
      </c>
      <c r="C171" t="s">
        <v>60</v>
      </c>
      <c r="D171" t="s">
        <v>96</v>
      </c>
      <c r="E171">
        <v>298</v>
      </c>
      <c r="F171" t="s">
        <v>100</v>
      </c>
    </row>
    <row r="172" spans="1:6">
      <c r="A172">
        <v>2023</v>
      </c>
      <c r="B172" t="s">
        <v>44</v>
      </c>
      <c r="C172" t="s">
        <v>56</v>
      </c>
      <c r="D172" t="s">
        <v>68</v>
      </c>
      <c r="E172">
        <v>317</v>
      </c>
      <c r="F172" t="s">
        <v>101</v>
      </c>
    </row>
    <row r="173" spans="1:6">
      <c r="A173">
        <v>2023</v>
      </c>
      <c r="B173" t="s">
        <v>44</v>
      </c>
      <c r="C173" t="s">
        <v>56</v>
      </c>
      <c r="D173" t="s">
        <v>16</v>
      </c>
      <c r="E173">
        <v>183</v>
      </c>
      <c r="F173" t="s">
        <v>101</v>
      </c>
    </row>
    <row r="174" spans="1:6">
      <c r="A174">
        <v>2023</v>
      </c>
      <c r="B174" t="s">
        <v>44</v>
      </c>
      <c r="C174" t="s">
        <v>56</v>
      </c>
      <c r="D174" t="s">
        <v>73</v>
      </c>
      <c r="E174">
        <v>99</v>
      </c>
      <c r="F174" t="s">
        <v>101</v>
      </c>
    </row>
    <row r="175" spans="1:6">
      <c r="A175">
        <v>2023</v>
      </c>
      <c r="B175" t="s">
        <v>44</v>
      </c>
      <c r="C175" t="s">
        <v>56</v>
      </c>
      <c r="D175" t="s">
        <v>18</v>
      </c>
      <c r="E175">
        <v>59</v>
      </c>
      <c r="F175" t="s">
        <v>101</v>
      </c>
    </row>
    <row r="176" spans="1:6">
      <c r="A176">
        <v>2023</v>
      </c>
      <c r="B176" t="s">
        <v>44</v>
      </c>
      <c r="C176" t="s">
        <v>56</v>
      </c>
      <c r="D176" t="s">
        <v>22</v>
      </c>
      <c r="E176">
        <v>44</v>
      </c>
      <c r="F176" t="s">
        <v>101</v>
      </c>
    </row>
    <row r="177" spans="1:6">
      <c r="A177">
        <v>2023</v>
      </c>
      <c r="B177" t="s">
        <v>44</v>
      </c>
      <c r="C177" t="s">
        <v>56</v>
      </c>
      <c r="D177" t="s">
        <v>25</v>
      </c>
      <c r="E177">
        <v>230</v>
      </c>
      <c r="F177" t="s">
        <v>101</v>
      </c>
    </row>
    <row r="178" spans="1:6">
      <c r="A178">
        <v>2023</v>
      </c>
      <c r="B178" t="s">
        <v>44</v>
      </c>
      <c r="C178" t="s">
        <v>58</v>
      </c>
      <c r="D178" t="s">
        <v>26</v>
      </c>
      <c r="E178">
        <v>367</v>
      </c>
      <c r="F178" t="s">
        <v>101</v>
      </c>
    </row>
    <row r="179" spans="1:6">
      <c r="A179">
        <v>2023</v>
      </c>
      <c r="B179" t="s">
        <v>44</v>
      </c>
      <c r="C179" t="s">
        <v>58</v>
      </c>
      <c r="D179" t="s">
        <v>27</v>
      </c>
      <c r="E179">
        <v>243</v>
      </c>
      <c r="F179" t="s">
        <v>101</v>
      </c>
    </row>
    <row r="180" spans="1:6">
      <c r="A180">
        <v>2023</v>
      </c>
      <c r="B180" t="s">
        <v>44</v>
      </c>
      <c r="C180" t="s">
        <v>58</v>
      </c>
      <c r="D180" t="s">
        <v>29</v>
      </c>
      <c r="E180">
        <v>322</v>
      </c>
      <c r="F180" t="s">
        <v>101</v>
      </c>
    </row>
    <row r="181" spans="1:6">
      <c r="A181">
        <v>2023</v>
      </c>
      <c r="B181" t="s">
        <v>44</v>
      </c>
      <c r="C181" t="s">
        <v>60</v>
      </c>
      <c r="D181" t="s">
        <v>93</v>
      </c>
      <c r="E181">
        <v>345</v>
      </c>
      <c r="F181" t="s">
        <v>101</v>
      </c>
    </row>
    <row r="182" spans="1:6">
      <c r="A182">
        <v>2023</v>
      </c>
      <c r="B182" t="s">
        <v>44</v>
      </c>
      <c r="C182" t="s">
        <v>60</v>
      </c>
      <c r="D182" t="s">
        <v>95</v>
      </c>
      <c r="E182">
        <v>276</v>
      </c>
      <c r="F182" t="s">
        <v>101</v>
      </c>
    </row>
    <row r="183" spans="1:6">
      <c r="A183">
        <v>2023</v>
      </c>
      <c r="B183" t="s">
        <v>44</v>
      </c>
      <c r="C183" t="s">
        <v>60</v>
      </c>
      <c r="D183" t="s">
        <v>96</v>
      </c>
      <c r="E183">
        <v>311</v>
      </c>
      <c r="F183" t="s">
        <v>101</v>
      </c>
    </row>
    <row r="184" spans="1:6">
      <c r="A184">
        <v>2024</v>
      </c>
      <c r="B184" t="s">
        <v>46</v>
      </c>
      <c r="C184" t="s">
        <v>58</v>
      </c>
      <c r="D184" t="s">
        <v>26</v>
      </c>
      <c r="E184">
        <v>1498</v>
      </c>
      <c r="F184" t="s">
        <v>102</v>
      </c>
    </row>
    <row r="185" spans="1:6">
      <c r="A185">
        <v>2024</v>
      </c>
      <c r="B185" t="s">
        <v>46</v>
      </c>
      <c r="C185" t="s">
        <v>58</v>
      </c>
      <c r="D185" t="s">
        <v>27</v>
      </c>
      <c r="E185">
        <v>922</v>
      </c>
      <c r="F185" t="s">
        <v>102</v>
      </c>
    </row>
    <row r="186" spans="1:6">
      <c r="A186">
        <v>2024</v>
      </c>
      <c r="B186" t="s">
        <v>46</v>
      </c>
      <c r="C186" t="s">
        <v>58</v>
      </c>
      <c r="D186" t="s">
        <v>29</v>
      </c>
      <c r="E186">
        <v>1166</v>
      </c>
      <c r="F186" t="s">
        <v>102</v>
      </c>
    </row>
    <row r="187" spans="1:6">
      <c r="A187">
        <v>2024</v>
      </c>
      <c r="B187" t="s">
        <v>46</v>
      </c>
      <c r="C187" t="s">
        <v>60</v>
      </c>
      <c r="D187" t="s">
        <v>93</v>
      </c>
      <c r="E187">
        <v>1384</v>
      </c>
      <c r="F187" t="s">
        <v>102</v>
      </c>
    </row>
    <row r="188" spans="1:6">
      <c r="A188">
        <v>2024</v>
      </c>
      <c r="B188" t="s">
        <v>46</v>
      </c>
      <c r="C188" t="s">
        <v>60</v>
      </c>
      <c r="D188" t="s">
        <v>95</v>
      </c>
      <c r="E188">
        <v>1021</v>
      </c>
      <c r="F188" t="s">
        <v>102</v>
      </c>
    </row>
    <row r="189" spans="1:6">
      <c r="A189">
        <v>2024</v>
      </c>
      <c r="B189" t="s">
        <v>46</v>
      </c>
      <c r="C189" t="s">
        <v>60</v>
      </c>
      <c r="D189" t="s">
        <v>96</v>
      </c>
      <c r="E189">
        <v>1181</v>
      </c>
      <c r="F189" t="s">
        <v>102</v>
      </c>
    </row>
    <row r="190" spans="1:6">
      <c r="A190">
        <v>2024</v>
      </c>
      <c r="B190" t="s">
        <v>46</v>
      </c>
      <c r="C190" t="s">
        <v>56</v>
      </c>
      <c r="D190" t="s">
        <v>68</v>
      </c>
      <c r="E190">
        <v>804</v>
      </c>
      <c r="F190" t="s">
        <v>102</v>
      </c>
    </row>
    <row r="191" spans="1:6">
      <c r="A191">
        <v>2024</v>
      </c>
      <c r="B191" t="s">
        <v>46</v>
      </c>
      <c r="C191" t="s">
        <v>56</v>
      </c>
      <c r="D191" t="s">
        <v>16</v>
      </c>
      <c r="E191">
        <v>775</v>
      </c>
      <c r="F191" t="s">
        <v>102</v>
      </c>
    </row>
    <row r="192" spans="1:6">
      <c r="A192">
        <v>2024</v>
      </c>
      <c r="B192" t="s">
        <v>46</v>
      </c>
      <c r="C192" t="s">
        <v>56</v>
      </c>
      <c r="D192" t="s">
        <v>73</v>
      </c>
      <c r="E192">
        <v>358</v>
      </c>
      <c r="F192" t="s">
        <v>102</v>
      </c>
    </row>
    <row r="193" spans="1:6">
      <c r="A193">
        <v>2024</v>
      </c>
      <c r="B193" t="s">
        <v>46</v>
      </c>
      <c r="C193" t="s">
        <v>56</v>
      </c>
      <c r="D193" t="s">
        <v>18</v>
      </c>
      <c r="E193">
        <v>250</v>
      </c>
      <c r="F193" t="s">
        <v>102</v>
      </c>
    </row>
    <row r="194" spans="1:6">
      <c r="A194">
        <v>2024</v>
      </c>
      <c r="B194" t="s">
        <v>46</v>
      </c>
      <c r="C194" t="s">
        <v>56</v>
      </c>
      <c r="D194" t="s">
        <v>19</v>
      </c>
      <c r="E194">
        <v>234</v>
      </c>
      <c r="F194" t="s">
        <v>102</v>
      </c>
    </row>
    <row r="195" spans="1:6">
      <c r="A195">
        <v>2024</v>
      </c>
      <c r="B195" t="s">
        <v>46</v>
      </c>
      <c r="C195" t="s">
        <v>56</v>
      </c>
      <c r="D195" t="s">
        <v>20</v>
      </c>
      <c r="E195">
        <v>229</v>
      </c>
      <c r="F195" t="s">
        <v>102</v>
      </c>
    </row>
    <row r="196" spans="1:6">
      <c r="A196">
        <v>2024</v>
      </c>
      <c r="B196" t="s">
        <v>46</v>
      </c>
      <c r="C196" t="s">
        <v>56</v>
      </c>
      <c r="D196" t="s">
        <v>25</v>
      </c>
      <c r="E196">
        <v>936</v>
      </c>
      <c r="F196" t="s">
        <v>102</v>
      </c>
    </row>
    <row r="197" spans="1:6">
      <c r="A197">
        <v>2024</v>
      </c>
      <c r="B197" t="s">
        <v>42</v>
      </c>
      <c r="C197" t="s">
        <v>56</v>
      </c>
      <c r="D197" t="s">
        <v>68</v>
      </c>
      <c r="E197">
        <v>308</v>
      </c>
      <c r="F197" t="s">
        <v>103</v>
      </c>
    </row>
    <row r="198" spans="1:6">
      <c r="A198">
        <v>2024</v>
      </c>
      <c r="B198" t="s">
        <v>42</v>
      </c>
      <c r="C198" t="s">
        <v>56</v>
      </c>
      <c r="D198" t="s">
        <v>16</v>
      </c>
      <c r="E198">
        <v>157</v>
      </c>
      <c r="F198" t="s">
        <v>103</v>
      </c>
    </row>
    <row r="199" spans="1:6">
      <c r="A199">
        <v>2024</v>
      </c>
      <c r="B199" t="s">
        <v>42</v>
      </c>
      <c r="C199" t="s">
        <v>56</v>
      </c>
      <c r="D199" t="s">
        <v>22</v>
      </c>
      <c r="E199">
        <v>73</v>
      </c>
      <c r="F199" t="s">
        <v>103</v>
      </c>
    </row>
    <row r="200" spans="1:6">
      <c r="A200">
        <v>2024</v>
      </c>
      <c r="B200" t="s">
        <v>42</v>
      </c>
      <c r="C200" t="s">
        <v>56</v>
      </c>
      <c r="D200" t="s">
        <v>73</v>
      </c>
      <c r="E200">
        <v>72</v>
      </c>
      <c r="F200" t="s">
        <v>103</v>
      </c>
    </row>
    <row r="201" spans="1:6">
      <c r="A201">
        <v>2024</v>
      </c>
      <c r="B201" t="s">
        <v>42</v>
      </c>
      <c r="C201" t="s">
        <v>56</v>
      </c>
      <c r="D201" t="s">
        <v>18</v>
      </c>
      <c r="E201">
        <v>49</v>
      </c>
      <c r="F201" t="s">
        <v>103</v>
      </c>
    </row>
    <row r="202" spans="1:6">
      <c r="A202">
        <v>2024</v>
      </c>
      <c r="B202" t="s">
        <v>42</v>
      </c>
      <c r="C202" t="s">
        <v>56</v>
      </c>
      <c r="D202" t="s">
        <v>25</v>
      </c>
      <c r="E202">
        <v>209</v>
      </c>
      <c r="F202" t="s">
        <v>103</v>
      </c>
    </row>
    <row r="203" spans="1:6">
      <c r="A203">
        <v>2024</v>
      </c>
      <c r="B203" t="s">
        <v>42</v>
      </c>
      <c r="C203" t="s">
        <v>58</v>
      </c>
      <c r="D203" t="s">
        <v>26</v>
      </c>
      <c r="E203">
        <v>351</v>
      </c>
      <c r="F203" t="s">
        <v>103</v>
      </c>
    </row>
    <row r="204" spans="1:6">
      <c r="A204">
        <v>2024</v>
      </c>
      <c r="B204" t="s">
        <v>42</v>
      </c>
      <c r="C204" t="s">
        <v>58</v>
      </c>
      <c r="D204" t="s">
        <v>27</v>
      </c>
      <c r="E204">
        <v>208</v>
      </c>
      <c r="F204" t="s">
        <v>103</v>
      </c>
    </row>
    <row r="205" spans="1:6">
      <c r="A205">
        <v>2024</v>
      </c>
      <c r="B205" t="s">
        <v>42</v>
      </c>
      <c r="C205" t="s">
        <v>58</v>
      </c>
      <c r="D205" t="s">
        <v>29</v>
      </c>
      <c r="E205">
        <v>309</v>
      </c>
      <c r="F205" t="s">
        <v>103</v>
      </c>
    </row>
    <row r="206" spans="1:6">
      <c r="A206">
        <v>2024</v>
      </c>
      <c r="B206" t="s">
        <v>42</v>
      </c>
      <c r="C206" t="s">
        <v>60</v>
      </c>
      <c r="D206" t="s">
        <v>93</v>
      </c>
      <c r="E206">
        <v>332</v>
      </c>
      <c r="F206" t="s">
        <v>103</v>
      </c>
    </row>
    <row r="207" spans="1:6">
      <c r="A207">
        <v>2024</v>
      </c>
      <c r="B207" t="s">
        <v>42</v>
      </c>
      <c r="C207" t="s">
        <v>60</v>
      </c>
      <c r="D207" t="s">
        <v>95</v>
      </c>
      <c r="E207">
        <v>254</v>
      </c>
      <c r="F207" t="s">
        <v>103</v>
      </c>
    </row>
    <row r="208" spans="1:6">
      <c r="A208">
        <v>2024</v>
      </c>
      <c r="B208" t="s">
        <v>42</v>
      </c>
      <c r="C208" t="s">
        <v>60</v>
      </c>
      <c r="D208" t="s">
        <v>96</v>
      </c>
      <c r="E208">
        <v>282</v>
      </c>
      <c r="F208" t="s">
        <v>103</v>
      </c>
    </row>
    <row r="209" spans="1:6">
      <c r="A209">
        <v>2024</v>
      </c>
      <c r="B209" t="s">
        <v>43</v>
      </c>
      <c r="C209" t="s">
        <v>56</v>
      </c>
      <c r="D209" t="s">
        <v>68</v>
      </c>
      <c r="E209">
        <v>202</v>
      </c>
      <c r="F209" t="s">
        <v>104</v>
      </c>
    </row>
    <row r="210" spans="1:6">
      <c r="A210">
        <v>2024</v>
      </c>
      <c r="B210" t="s">
        <v>43</v>
      </c>
      <c r="C210" t="s">
        <v>56</v>
      </c>
      <c r="D210" t="s">
        <v>16</v>
      </c>
      <c r="E210">
        <v>199</v>
      </c>
      <c r="F210" t="s">
        <v>104</v>
      </c>
    </row>
    <row r="211" spans="1:6">
      <c r="A211">
        <v>2024</v>
      </c>
      <c r="B211" t="s">
        <v>43</v>
      </c>
      <c r="C211" t="s">
        <v>56</v>
      </c>
      <c r="D211" t="s">
        <v>73</v>
      </c>
      <c r="E211">
        <v>82</v>
      </c>
      <c r="F211" t="s">
        <v>104</v>
      </c>
    </row>
    <row r="212" spans="1:6">
      <c r="A212">
        <v>2024</v>
      </c>
      <c r="B212" t="s">
        <v>43</v>
      </c>
      <c r="C212" t="s">
        <v>56</v>
      </c>
      <c r="D212" t="s">
        <v>19</v>
      </c>
      <c r="E212">
        <v>62</v>
      </c>
      <c r="F212" t="s">
        <v>104</v>
      </c>
    </row>
    <row r="213" spans="1:6">
      <c r="A213">
        <v>2024</v>
      </c>
      <c r="B213" t="s">
        <v>43</v>
      </c>
      <c r="C213" t="s">
        <v>56</v>
      </c>
      <c r="D213" t="s">
        <v>18</v>
      </c>
      <c r="E213">
        <v>55</v>
      </c>
      <c r="F213" t="s">
        <v>104</v>
      </c>
    </row>
    <row r="214" spans="1:6">
      <c r="A214">
        <v>2024</v>
      </c>
      <c r="B214" t="s">
        <v>43</v>
      </c>
      <c r="C214" t="s">
        <v>56</v>
      </c>
      <c r="D214" t="s">
        <v>20</v>
      </c>
      <c r="E214">
        <v>55</v>
      </c>
      <c r="F214" t="s">
        <v>104</v>
      </c>
    </row>
    <row r="215" spans="1:6">
      <c r="A215">
        <v>2024</v>
      </c>
      <c r="B215" t="s">
        <v>43</v>
      </c>
      <c r="C215" t="s">
        <v>56</v>
      </c>
      <c r="D215" t="s">
        <v>25</v>
      </c>
      <c r="E215">
        <v>232</v>
      </c>
      <c r="F215" t="s">
        <v>104</v>
      </c>
    </row>
    <row r="216" spans="1:6">
      <c r="A216">
        <v>2024</v>
      </c>
      <c r="B216" t="s">
        <v>43</v>
      </c>
      <c r="C216" t="s">
        <v>58</v>
      </c>
      <c r="D216" t="s">
        <v>26</v>
      </c>
      <c r="E216">
        <v>369</v>
      </c>
      <c r="F216" t="s">
        <v>104</v>
      </c>
    </row>
    <row r="217" spans="1:6">
      <c r="A217">
        <v>2024</v>
      </c>
      <c r="B217" t="s">
        <v>43</v>
      </c>
      <c r="C217" t="s">
        <v>58</v>
      </c>
      <c r="D217" t="s">
        <v>27</v>
      </c>
      <c r="E217">
        <v>229</v>
      </c>
      <c r="F217" t="s">
        <v>104</v>
      </c>
    </row>
    <row r="218" spans="1:6">
      <c r="A218">
        <v>2024</v>
      </c>
      <c r="B218" t="s">
        <v>43</v>
      </c>
      <c r="C218" t="s">
        <v>58</v>
      </c>
      <c r="D218" t="s">
        <v>29</v>
      </c>
      <c r="E218">
        <v>289</v>
      </c>
      <c r="F218" t="s">
        <v>104</v>
      </c>
    </row>
    <row r="219" spans="1:6">
      <c r="A219">
        <v>2024</v>
      </c>
      <c r="B219" t="s">
        <v>43</v>
      </c>
      <c r="C219" t="s">
        <v>60</v>
      </c>
      <c r="D219" t="s">
        <v>93</v>
      </c>
      <c r="E219">
        <v>335</v>
      </c>
      <c r="F219" t="s">
        <v>104</v>
      </c>
    </row>
    <row r="220" spans="1:6">
      <c r="A220">
        <v>2024</v>
      </c>
      <c r="B220" t="s">
        <v>43</v>
      </c>
      <c r="C220" t="s">
        <v>60</v>
      </c>
      <c r="D220" t="s">
        <v>95</v>
      </c>
      <c r="E220">
        <v>254</v>
      </c>
      <c r="F220" t="s">
        <v>104</v>
      </c>
    </row>
    <row r="221" spans="1:6">
      <c r="A221">
        <v>2024</v>
      </c>
      <c r="B221" t="s">
        <v>43</v>
      </c>
      <c r="C221" t="s">
        <v>60</v>
      </c>
      <c r="D221" t="s">
        <v>96</v>
      </c>
      <c r="E221">
        <v>298</v>
      </c>
      <c r="F221" t="s">
        <v>104</v>
      </c>
    </row>
    <row r="222" spans="1:6">
      <c r="A222">
        <v>2024</v>
      </c>
      <c r="B222" t="s">
        <v>44</v>
      </c>
      <c r="C222" t="s">
        <v>56</v>
      </c>
      <c r="D222" t="s">
        <v>68</v>
      </c>
      <c r="E222">
        <v>194</v>
      </c>
      <c r="F222" t="s">
        <v>105</v>
      </c>
    </row>
    <row r="223" spans="1:6">
      <c r="A223">
        <v>2024</v>
      </c>
      <c r="B223" t="s">
        <v>44</v>
      </c>
      <c r="C223" t="s">
        <v>56</v>
      </c>
      <c r="D223" t="s">
        <v>16</v>
      </c>
      <c r="E223">
        <v>192</v>
      </c>
      <c r="F223" t="s">
        <v>105</v>
      </c>
    </row>
    <row r="224" spans="1:6">
      <c r="A224">
        <v>2024</v>
      </c>
      <c r="B224" t="s">
        <v>44</v>
      </c>
      <c r="C224" t="s">
        <v>56</v>
      </c>
      <c r="D224" t="s">
        <v>73</v>
      </c>
      <c r="E224">
        <v>89</v>
      </c>
      <c r="F224" t="s">
        <v>105</v>
      </c>
    </row>
    <row r="225" spans="1:6">
      <c r="A225">
        <v>2024</v>
      </c>
      <c r="B225" t="s">
        <v>44</v>
      </c>
      <c r="C225" t="s">
        <v>56</v>
      </c>
      <c r="D225" t="s">
        <v>19</v>
      </c>
      <c r="E225">
        <v>66</v>
      </c>
      <c r="F225" t="s">
        <v>105</v>
      </c>
    </row>
    <row r="226" spans="1:6">
      <c r="A226">
        <v>2024</v>
      </c>
      <c r="B226" t="s">
        <v>44</v>
      </c>
      <c r="C226" t="s">
        <v>56</v>
      </c>
      <c r="D226" t="s">
        <v>18</v>
      </c>
      <c r="E226">
        <v>65</v>
      </c>
      <c r="F226" t="s">
        <v>105</v>
      </c>
    </row>
    <row r="227" spans="1:6">
      <c r="A227">
        <v>2024</v>
      </c>
      <c r="B227" t="s">
        <v>44</v>
      </c>
      <c r="C227" t="s">
        <v>56</v>
      </c>
      <c r="D227" t="s">
        <v>20</v>
      </c>
      <c r="E227">
        <v>60</v>
      </c>
      <c r="F227" t="s">
        <v>105</v>
      </c>
    </row>
    <row r="228" spans="1:6">
      <c r="A228">
        <v>2024</v>
      </c>
      <c r="B228" t="s">
        <v>44</v>
      </c>
      <c r="C228" t="s">
        <v>56</v>
      </c>
      <c r="D228" t="s">
        <v>25</v>
      </c>
      <c r="E228">
        <v>230</v>
      </c>
      <c r="F228" t="s">
        <v>105</v>
      </c>
    </row>
    <row r="229" spans="1:6">
      <c r="A229">
        <v>2024</v>
      </c>
      <c r="B229" t="s">
        <v>44</v>
      </c>
      <c r="C229" t="s">
        <v>58</v>
      </c>
      <c r="D229" t="s">
        <v>26</v>
      </c>
      <c r="E229">
        <v>378</v>
      </c>
      <c r="F229" t="s">
        <v>105</v>
      </c>
    </row>
    <row r="230" spans="1:6">
      <c r="A230">
        <v>2024</v>
      </c>
      <c r="B230" t="s">
        <v>44</v>
      </c>
      <c r="C230" t="s">
        <v>58</v>
      </c>
      <c r="D230" t="s">
        <v>27</v>
      </c>
      <c r="E230">
        <v>231</v>
      </c>
      <c r="F230" t="s">
        <v>105</v>
      </c>
    </row>
    <row r="231" spans="1:6">
      <c r="A231">
        <v>2024</v>
      </c>
      <c r="B231" t="s">
        <v>44</v>
      </c>
      <c r="C231" t="s">
        <v>58</v>
      </c>
      <c r="D231" t="s">
        <v>29</v>
      </c>
      <c r="E231">
        <v>287</v>
      </c>
      <c r="F231" t="s">
        <v>105</v>
      </c>
    </row>
    <row r="232" spans="1:6">
      <c r="A232">
        <v>2025</v>
      </c>
      <c r="B232" t="s">
        <v>46</v>
      </c>
      <c r="C232" t="s">
        <v>58</v>
      </c>
      <c r="D232" t="s">
        <v>26</v>
      </c>
      <c r="E232">
        <v>1696</v>
      </c>
      <c r="F232" t="s">
        <v>106</v>
      </c>
    </row>
    <row r="233" spans="1:6">
      <c r="A233">
        <v>2025</v>
      </c>
      <c r="B233" t="s">
        <v>46</v>
      </c>
      <c r="C233" t="s">
        <v>58</v>
      </c>
      <c r="D233" t="s">
        <v>27</v>
      </c>
      <c r="E233">
        <v>1111</v>
      </c>
      <c r="F233" t="s">
        <v>106</v>
      </c>
    </row>
    <row r="234" spans="1:6">
      <c r="A234">
        <v>2025</v>
      </c>
      <c r="B234" t="s">
        <v>46</v>
      </c>
      <c r="C234" t="s">
        <v>58</v>
      </c>
      <c r="D234" t="s">
        <v>29</v>
      </c>
      <c r="E234">
        <v>1124</v>
      </c>
      <c r="F234" t="s">
        <v>106</v>
      </c>
    </row>
    <row r="235" spans="1:6">
      <c r="A235">
        <v>2025</v>
      </c>
      <c r="B235" t="s">
        <v>46</v>
      </c>
      <c r="C235" t="s">
        <v>60</v>
      </c>
      <c r="D235" t="s">
        <v>93</v>
      </c>
      <c r="E235">
        <v>1579</v>
      </c>
      <c r="F235" t="s">
        <v>106</v>
      </c>
    </row>
    <row r="236" spans="1:6">
      <c r="A236">
        <v>2025</v>
      </c>
      <c r="B236" t="s">
        <v>46</v>
      </c>
      <c r="C236" t="s">
        <v>60</v>
      </c>
      <c r="D236" t="s">
        <v>95</v>
      </c>
      <c r="E236">
        <v>1029</v>
      </c>
      <c r="F236" t="s">
        <v>106</v>
      </c>
    </row>
    <row r="237" spans="1:6">
      <c r="A237">
        <v>2025</v>
      </c>
      <c r="B237" t="s">
        <v>46</v>
      </c>
      <c r="C237" t="s">
        <v>60</v>
      </c>
      <c r="D237" t="s">
        <v>96</v>
      </c>
      <c r="E237">
        <v>1323</v>
      </c>
      <c r="F237" t="s">
        <v>106</v>
      </c>
    </row>
    <row r="238" spans="1:6">
      <c r="A238">
        <v>2025</v>
      </c>
      <c r="B238" t="s">
        <v>46</v>
      </c>
      <c r="C238" t="s">
        <v>56</v>
      </c>
      <c r="D238" t="s">
        <v>68</v>
      </c>
      <c r="E238">
        <v>760</v>
      </c>
      <c r="F238" t="s">
        <v>106</v>
      </c>
    </row>
    <row r="239" spans="1:6">
      <c r="A239">
        <v>2025</v>
      </c>
      <c r="B239" t="s">
        <v>46</v>
      </c>
      <c r="C239" t="s">
        <v>56</v>
      </c>
      <c r="D239" t="s">
        <v>16</v>
      </c>
      <c r="E239">
        <v>931</v>
      </c>
      <c r="F239" t="s">
        <v>106</v>
      </c>
    </row>
    <row r="240" spans="1:6">
      <c r="A240">
        <v>2025</v>
      </c>
      <c r="B240" t="s">
        <v>46</v>
      </c>
      <c r="C240" t="s">
        <v>56</v>
      </c>
      <c r="D240" t="s">
        <v>73</v>
      </c>
      <c r="E240">
        <v>440</v>
      </c>
      <c r="F240" t="s">
        <v>106</v>
      </c>
    </row>
    <row r="241" spans="1:6">
      <c r="A241">
        <v>2025</v>
      </c>
      <c r="B241" t="s">
        <v>46</v>
      </c>
      <c r="C241" t="s">
        <v>56</v>
      </c>
      <c r="D241" t="s">
        <v>20</v>
      </c>
      <c r="E241">
        <v>265</v>
      </c>
      <c r="F241" t="s">
        <v>106</v>
      </c>
    </row>
    <row r="242" spans="1:6">
      <c r="A242">
        <v>2025</v>
      </c>
      <c r="B242" t="s">
        <v>46</v>
      </c>
      <c r="C242" t="s">
        <v>56</v>
      </c>
      <c r="D242" t="s">
        <v>19</v>
      </c>
      <c r="E242">
        <v>260</v>
      </c>
      <c r="F242" t="s">
        <v>106</v>
      </c>
    </row>
    <row r="243" spans="1:6">
      <c r="A243">
        <v>2025</v>
      </c>
      <c r="B243" t="s">
        <v>46</v>
      </c>
      <c r="C243" t="s">
        <v>56</v>
      </c>
      <c r="D243" t="s">
        <v>18</v>
      </c>
      <c r="E243">
        <v>240</v>
      </c>
      <c r="F243" t="s">
        <v>106</v>
      </c>
    </row>
    <row r="244" spans="1:6">
      <c r="A244">
        <v>2025</v>
      </c>
      <c r="B244" t="s">
        <v>46</v>
      </c>
      <c r="C244" t="s">
        <v>56</v>
      </c>
      <c r="D244" t="s">
        <v>25</v>
      </c>
      <c r="E244">
        <v>1035</v>
      </c>
      <c r="F244" t="s">
        <v>106</v>
      </c>
    </row>
    <row r="245" spans="1:6">
      <c r="A245">
        <v>2025</v>
      </c>
      <c r="B245" t="s">
        <v>42</v>
      </c>
      <c r="C245" t="s">
        <v>58</v>
      </c>
      <c r="D245" t="s">
        <v>26</v>
      </c>
      <c r="E245">
        <v>413</v>
      </c>
      <c r="F245" t="s">
        <v>107</v>
      </c>
    </row>
    <row r="246" spans="1:6">
      <c r="A246">
        <v>2025</v>
      </c>
      <c r="B246" t="s">
        <v>42</v>
      </c>
      <c r="C246" t="s">
        <v>58</v>
      </c>
      <c r="D246" t="s">
        <v>27</v>
      </c>
      <c r="E246">
        <v>253</v>
      </c>
      <c r="F246" t="s">
        <v>107</v>
      </c>
    </row>
    <row r="247" spans="1:6">
      <c r="A247">
        <v>2025</v>
      </c>
      <c r="B247" t="s">
        <v>42</v>
      </c>
      <c r="C247" t="s">
        <v>58</v>
      </c>
      <c r="D247" t="s">
        <v>29</v>
      </c>
      <c r="E247">
        <v>270</v>
      </c>
      <c r="F247" t="s">
        <v>107</v>
      </c>
    </row>
    <row r="248" spans="1:6">
      <c r="A248">
        <v>2025</v>
      </c>
      <c r="B248" t="s">
        <v>42</v>
      </c>
      <c r="C248" t="s">
        <v>56</v>
      </c>
      <c r="D248" t="s">
        <v>68</v>
      </c>
      <c r="E248">
        <v>177</v>
      </c>
      <c r="F248" t="s">
        <v>107</v>
      </c>
    </row>
    <row r="249" spans="1:6">
      <c r="A249">
        <v>2025</v>
      </c>
      <c r="B249" t="s">
        <v>42</v>
      </c>
      <c r="C249" t="s">
        <v>56</v>
      </c>
      <c r="D249" t="s">
        <v>16</v>
      </c>
      <c r="E249">
        <v>219</v>
      </c>
      <c r="F249" t="s">
        <v>107</v>
      </c>
    </row>
    <row r="250" spans="1:6">
      <c r="A250">
        <v>2025</v>
      </c>
      <c r="B250" t="s">
        <v>42</v>
      </c>
      <c r="C250" t="s">
        <v>56</v>
      </c>
      <c r="D250" t="s">
        <v>73</v>
      </c>
      <c r="E250">
        <v>103</v>
      </c>
      <c r="F250" t="s">
        <v>107</v>
      </c>
    </row>
    <row r="251" spans="1:6">
      <c r="A251">
        <v>2025</v>
      </c>
      <c r="B251" t="s">
        <v>42</v>
      </c>
      <c r="C251" t="s">
        <v>56</v>
      </c>
      <c r="D251" t="s">
        <v>18</v>
      </c>
      <c r="E251">
        <v>68</v>
      </c>
      <c r="F251" t="s">
        <v>107</v>
      </c>
    </row>
    <row r="252" spans="1:6">
      <c r="A252">
        <v>2025</v>
      </c>
      <c r="B252" t="s">
        <v>42</v>
      </c>
      <c r="C252" t="s">
        <v>56</v>
      </c>
      <c r="D252" t="s">
        <v>20</v>
      </c>
      <c r="E252">
        <v>63</v>
      </c>
      <c r="F252" t="s">
        <v>107</v>
      </c>
    </row>
    <row r="253" spans="1:6">
      <c r="A253">
        <v>2025</v>
      </c>
      <c r="B253" t="s">
        <v>42</v>
      </c>
      <c r="C253" t="s">
        <v>56</v>
      </c>
      <c r="D253" t="s">
        <v>19</v>
      </c>
      <c r="E253">
        <v>60</v>
      </c>
      <c r="F253" t="s">
        <v>107</v>
      </c>
    </row>
    <row r="254" spans="1:6">
      <c r="A254">
        <v>2025</v>
      </c>
      <c r="B254" t="s">
        <v>42</v>
      </c>
      <c r="C254" t="s">
        <v>56</v>
      </c>
      <c r="D254" t="s">
        <v>25</v>
      </c>
      <c r="E254">
        <v>246</v>
      </c>
      <c r="F254" t="s">
        <v>107</v>
      </c>
    </row>
    <row r="255" spans="1:6">
      <c r="A255">
        <v>2025</v>
      </c>
      <c r="B255" t="s">
        <v>42</v>
      </c>
      <c r="C255" t="s">
        <v>60</v>
      </c>
      <c r="D255" t="s">
        <v>93</v>
      </c>
      <c r="E255">
        <v>386</v>
      </c>
      <c r="F255" t="s">
        <v>107</v>
      </c>
    </row>
    <row r="256" spans="1:6">
      <c r="A256">
        <v>2025</v>
      </c>
      <c r="B256" t="s">
        <v>42</v>
      </c>
      <c r="C256" t="s">
        <v>60</v>
      </c>
      <c r="D256" t="s">
        <v>95</v>
      </c>
      <c r="E256">
        <v>263</v>
      </c>
      <c r="F256" t="s">
        <v>107</v>
      </c>
    </row>
    <row r="257" spans="1:6">
      <c r="A257">
        <v>2025</v>
      </c>
      <c r="B257" t="s">
        <v>42</v>
      </c>
      <c r="C257" t="s">
        <v>60</v>
      </c>
      <c r="D257" t="s">
        <v>96</v>
      </c>
      <c r="E257">
        <v>287</v>
      </c>
      <c r="F257" t="s">
        <v>107</v>
      </c>
    </row>
    <row r="258" spans="1:6">
      <c r="A258">
        <v>2025</v>
      </c>
      <c r="B258" t="s">
        <v>43</v>
      </c>
      <c r="C258" t="s">
        <v>58</v>
      </c>
      <c r="D258" t="s">
        <v>26</v>
      </c>
      <c r="E258">
        <v>432</v>
      </c>
      <c r="F258" t="s">
        <v>108</v>
      </c>
    </row>
    <row r="259" spans="1:6">
      <c r="A259">
        <v>2025</v>
      </c>
      <c r="B259" t="s">
        <v>43</v>
      </c>
      <c r="C259" t="s">
        <v>58</v>
      </c>
      <c r="D259" t="s">
        <v>27</v>
      </c>
      <c r="E259">
        <v>266</v>
      </c>
      <c r="F259" t="s">
        <v>108</v>
      </c>
    </row>
    <row r="260" spans="1:6">
      <c r="A260">
        <v>2025</v>
      </c>
      <c r="B260" t="s">
        <v>43</v>
      </c>
      <c r="C260" t="s">
        <v>58</v>
      </c>
      <c r="D260" t="s">
        <v>29</v>
      </c>
      <c r="E260">
        <v>275</v>
      </c>
      <c r="F260" t="s">
        <v>108</v>
      </c>
    </row>
    <row r="261" spans="1:6">
      <c r="A261">
        <v>2025</v>
      </c>
      <c r="B261" t="s">
        <v>43</v>
      </c>
      <c r="C261" t="s">
        <v>56</v>
      </c>
      <c r="D261" t="s">
        <v>68</v>
      </c>
      <c r="E261">
        <v>187</v>
      </c>
      <c r="F261" t="s">
        <v>108</v>
      </c>
    </row>
    <row r="262" spans="1:6">
      <c r="A262">
        <v>2025</v>
      </c>
      <c r="B262" t="s">
        <v>43</v>
      </c>
      <c r="C262" t="s">
        <v>56</v>
      </c>
      <c r="D262" t="s">
        <v>16</v>
      </c>
      <c r="E262">
        <v>219</v>
      </c>
      <c r="F262" t="s">
        <v>108</v>
      </c>
    </row>
    <row r="263" spans="1:6">
      <c r="A263">
        <v>2025</v>
      </c>
      <c r="B263" t="s">
        <v>43</v>
      </c>
      <c r="C263" t="s">
        <v>56</v>
      </c>
      <c r="D263" t="s">
        <v>73</v>
      </c>
      <c r="E263">
        <v>122</v>
      </c>
      <c r="F263" t="s">
        <v>108</v>
      </c>
    </row>
    <row r="264" spans="1:6">
      <c r="A264">
        <v>2025</v>
      </c>
      <c r="B264" t="s">
        <v>43</v>
      </c>
      <c r="C264" t="s">
        <v>56</v>
      </c>
      <c r="D264" t="s">
        <v>20</v>
      </c>
      <c r="E264">
        <v>72</v>
      </c>
      <c r="F264" t="s">
        <v>108</v>
      </c>
    </row>
    <row r="265" spans="1:6">
      <c r="A265">
        <v>2025</v>
      </c>
      <c r="B265" t="s">
        <v>43</v>
      </c>
      <c r="C265" t="s">
        <v>56</v>
      </c>
      <c r="D265" t="s">
        <v>19</v>
      </c>
      <c r="E265">
        <v>66</v>
      </c>
      <c r="F265" t="s">
        <v>108</v>
      </c>
    </row>
    <row r="266" spans="1:6">
      <c r="A266">
        <v>2025</v>
      </c>
      <c r="B266" t="s">
        <v>43</v>
      </c>
      <c r="C266" t="s">
        <v>56</v>
      </c>
      <c r="D266" t="s">
        <v>18</v>
      </c>
      <c r="E266">
        <v>59</v>
      </c>
      <c r="F266" t="s">
        <v>108</v>
      </c>
    </row>
    <row r="267" spans="1:6">
      <c r="A267">
        <v>2025</v>
      </c>
      <c r="B267" t="s">
        <v>43</v>
      </c>
      <c r="C267" t="s">
        <v>56</v>
      </c>
      <c r="D267" t="s">
        <v>25</v>
      </c>
      <c r="E267">
        <v>248</v>
      </c>
      <c r="F267" t="s">
        <v>108</v>
      </c>
    </row>
    <row r="268" spans="1:6">
      <c r="A268">
        <v>2025</v>
      </c>
      <c r="B268" t="s">
        <v>43</v>
      </c>
      <c r="C268" t="s">
        <v>60</v>
      </c>
      <c r="D268" t="s">
        <v>93</v>
      </c>
      <c r="E268">
        <v>407</v>
      </c>
      <c r="F268" t="s">
        <v>108</v>
      </c>
    </row>
    <row r="269" spans="1:6">
      <c r="A269">
        <v>2025</v>
      </c>
      <c r="B269" t="s">
        <v>43</v>
      </c>
      <c r="C269" t="s">
        <v>60</v>
      </c>
      <c r="D269" t="s">
        <v>95</v>
      </c>
      <c r="E269">
        <v>243</v>
      </c>
      <c r="F269" t="s">
        <v>108</v>
      </c>
    </row>
    <row r="270" spans="1:6">
      <c r="A270">
        <v>2025</v>
      </c>
      <c r="B270" t="s">
        <v>43</v>
      </c>
      <c r="C270" t="s">
        <v>60</v>
      </c>
      <c r="D270" t="s">
        <v>96</v>
      </c>
      <c r="E270">
        <v>323</v>
      </c>
      <c r="F270" t="s">
        <v>108</v>
      </c>
    </row>
    <row r="271" spans="1:6">
      <c r="A271">
        <v>2025</v>
      </c>
      <c r="B271" t="s">
        <v>44</v>
      </c>
      <c r="C271" t="s">
        <v>58</v>
      </c>
      <c r="D271" t="s">
        <v>26</v>
      </c>
      <c r="E271">
        <v>415</v>
      </c>
      <c r="F271" t="s">
        <v>109</v>
      </c>
    </row>
    <row r="272" spans="1:6">
      <c r="A272">
        <v>2025</v>
      </c>
      <c r="B272" t="s">
        <v>44</v>
      </c>
      <c r="C272" t="s">
        <v>58</v>
      </c>
      <c r="D272" t="s">
        <v>27</v>
      </c>
      <c r="E272">
        <v>289</v>
      </c>
      <c r="F272" t="s">
        <v>109</v>
      </c>
    </row>
    <row r="273" spans="1:6">
      <c r="A273">
        <v>2025</v>
      </c>
      <c r="B273" t="s">
        <v>44</v>
      </c>
      <c r="C273" t="s">
        <v>58</v>
      </c>
      <c r="D273" t="s">
        <v>29</v>
      </c>
      <c r="E273">
        <v>284</v>
      </c>
      <c r="F273" t="s">
        <v>109</v>
      </c>
    </row>
    <row r="274" spans="1:6">
      <c r="A274">
        <v>2025</v>
      </c>
      <c r="B274" t="s">
        <v>44</v>
      </c>
      <c r="C274" t="s">
        <v>56</v>
      </c>
      <c r="D274" t="s">
        <v>68</v>
      </c>
      <c r="E274">
        <v>196</v>
      </c>
      <c r="F274" t="s">
        <v>109</v>
      </c>
    </row>
    <row r="275" spans="1:6">
      <c r="A275">
        <v>2025</v>
      </c>
      <c r="B275" t="s">
        <v>44</v>
      </c>
      <c r="C275" t="s">
        <v>56</v>
      </c>
      <c r="D275" t="s">
        <v>16</v>
      </c>
      <c r="E275">
        <v>236</v>
      </c>
      <c r="F275" t="s">
        <v>109</v>
      </c>
    </row>
    <row r="276" spans="1:6">
      <c r="A276">
        <v>2025</v>
      </c>
      <c r="B276" t="s">
        <v>44</v>
      </c>
      <c r="C276" t="s">
        <v>56</v>
      </c>
      <c r="D276" t="s">
        <v>73</v>
      </c>
      <c r="E276">
        <v>106</v>
      </c>
      <c r="F276" t="s">
        <v>109</v>
      </c>
    </row>
    <row r="277" spans="1:6">
      <c r="A277">
        <v>2025</v>
      </c>
      <c r="B277" t="s">
        <v>44</v>
      </c>
      <c r="C277" t="s">
        <v>56</v>
      </c>
      <c r="D277" t="s">
        <v>19</v>
      </c>
      <c r="E277">
        <v>70</v>
      </c>
      <c r="F277" t="s">
        <v>109</v>
      </c>
    </row>
    <row r="278" spans="1:6">
      <c r="A278">
        <v>2025</v>
      </c>
      <c r="B278" t="s">
        <v>44</v>
      </c>
      <c r="C278" t="s">
        <v>56</v>
      </c>
      <c r="D278" t="s">
        <v>20</v>
      </c>
      <c r="E278">
        <v>60</v>
      </c>
      <c r="F278" t="s">
        <v>109</v>
      </c>
    </row>
    <row r="279" spans="1:6">
      <c r="A279">
        <v>2025</v>
      </c>
      <c r="B279" t="s">
        <v>44</v>
      </c>
      <c r="C279" t="s">
        <v>56</v>
      </c>
      <c r="D279" t="s">
        <v>18</v>
      </c>
      <c r="E279">
        <v>56</v>
      </c>
      <c r="F279" t="s">
        <v>109</v>
      </c>
    </row>
    <row r="280" spans="1:6">
      <c r="A280">
        <v>2025</v>
      </c>
      <c r="B280" t="s">
        <v>44</v>
      </c>
      <c r="C280" t="s">
        <v>56</v>
      </c>
      <c r="D280" t="s">
        <v>25</v>
      </c>
      <c r="E280">
        <v>264</v>
      </c>
      <c r="F280" t="s">
        <v>109</v>
      </c>
    </row>
    <row r="281" spans="1:6">
      <c r="A281">
        <v>2025</v>
      </c>
      <c r="B281" t="s">
        <v>44</v>
      </c>
      <c r="C281" t="s">
        <v>60</v>
      </c>
      <c r="D281" t="s">
        <v>93</v>
      </c>
      <c r="E281">
        <v>386</v>
      </c>
      <c r="F281" t="s">
        <v>109</v>
      </c>
    </row>
    <row r="282" spans="1:6">
      <c r="A282">
        <v>2025</v>
      </c>
      <c r="B282" t="s">
        <v>44</v>
      </c>
      <c r="C282" t="s">
        <v>60</v>
      </c>
      <c r="D282" t="s">
        <v>95</v>
      </c>
      <c r="E282">
        <v>249</v>
      </c>
      <c r="F282" t="s">
        <v>109</v>
      </c>
    </row>
    <row r="283" spans="1:6">
      <c r="A283">
        <v>2025</v>
      </c>
      <c r="B283" t="s">
        <v>44</v>
      </c>
      <c r="C283" t="s">
        <v>60</v>
      </c>
      <c r="D283" t="s">
        <v>96</v>
      </c>
      <c r="E283">
        <v>353</v>
      </c>
      <c r="F283" t="s">
        <v>109</v>
      </c>
    </row>
    <row r="284" spans="1:6">
      <c r="A284">
        <v>2026</v>
      </c>
      <c r="B284" t="s">
        <v>42</v>
      </c>
      <c r="C284" t="s">
        <v>58</v>
      </c>
      <c r="D284" t="s">
        <v>26</v>
      </c>
      <c r="E284">
        <v>466</v>
      </c>
      <c r="F284" t="s">
        <v>110</v>
      </c>
    </row>
    <row r="285" spans="1:6">
      <c r="A285">
        <v>2026</v>
      </c>
      <c r="B285" t="s">
        <v>42</v>
      </c>
      <c r="C285" t="s">
        <v>58</v>
      </c>
      <c r="D285" t="s">
        <v>27</v>
      </c>
      <c r="E285">
        <v>321</v>
      </c>
      <c r="F285" t="s">
        <v>110</v>
      </c>
    </row>
    <row r="286" spans="1:6">
      <c r="A286">
        <v>2026</v>
      </c>
      <c r="B286" t="s">
        <v>42</v>
      </c>
      <c r="C286" t="s">
        <v>58</v>
      </c>
      <c r="D286" t="s">
        <v>29</v>
      </c>
      <c r="E286">
        <v>291</v>
      </c>
      <c r="F286" t="s">
        <v>110</v>
      </c>
    </row>
    <row r="287" spans="1:6">
      <c r="A287">
        <v>2026</v>
      </c>
      <c r="B287" t="s">
        <v>42</v>
      </c>
      <c r="C287" t="s">
        <v>56</v>
      </c>
      <c r="D287" t="s">
        <v>68</v>
      </c>
      <c r="E287">
        <v>195</v>
      </c>
      <c r="F287" t="s">
        <v>110</v>
      </c>
    </row>
    <row r="288" spans="1:6">
      <c r="A288">
        <v>2026</v>
      </c>
      <c r="B288" t="s">
        <v>42</v>
      </c>
      <c r="C288" t="s">
        <v>56</v>
      </c>
      <c r="D288" t="s">
        <v>16</v>
      </c>
      <c r="E288">
        <v>252</v>
      </c>
      <c r="F288" t="s">
        <v>110</v>
      </c>
    </row>
    <row r="289" spans="1:6">
      <c r="A289">
        <v>2026</v>
      </c>
      <c r="B289" t="s">
        <v>42</v>
      </c>
      <c r="C289" t="s">
        <v>56</v>
      </c>
      <c r="D289" t="s">
        <v>73</v>
      </c>
      <c r="E289">
        <v>129</v>
      </c>
      <c r="F289" t="s">
        <v>110</v>
      </c>
    </row>
    <row r="290" spans="1:6">
      <c r="A290">
        <v>2026</v>
      </c>
      <c r="B290" t="s">
        <v>42</v>
      </c>
      <c r="C290" t="s">
        <v>56</v>
      </c>
      <c r="D290" t="s">
        <v>20</v>
      </c>
      <c r="E290">
        <v>73</v>
      </c>
      <c r="F290" t="s">
        <v>110</v>
      </c>
    </row>
    <row r="291" spans="1:6">
      <c r="A291">
        <v>2026</v>
      </c>
      <c r="B291" t="s">
        <v>42</v>
      </c>
      <c r="C291" t="s">
        <v>56</v>
      </c>
      <c r="D291" t="s">
        <v>21</v>
      </c>
      <c r="E291">
        <v>70</v>
      </c>
      <c r="F291" t="s">
        <v>110</v>
      </c>
    </row>
    <row r="292" spans="1:6">
      <c r="A292">
        <v>2026</v>
      </c>
      <c r="B292" t="s">
        <v>42</v>
      </c>
      <c r="C292" t="s">
        <v>56</v>
      </c>
      <c r="D292" t="s">
        <v>18</v>
      </c>
      <c r="E292">
        <v>67</v>
      </c>
      <c r="F292" t="s">
        <v>110</v>
      </c>
    </row>
    <row r="293" spans="1:6">
      <c r="A293">
        <v>2026</v>
      </c>
      <c r="B293" t="s">
        <v>42</v>
      </c>
      <c r="C293" t="s">
        <v>56</v>
      </c>
      <c r="D293" t="s">
        <v>19</v>
      </c>
      <c r="E293">
        <v>62</v>
      </c>
      <c r="F293" t="s">
        <v>110</v>
      </c>
    </row>
    <row r="294" spans="1:6">
      <c r="A294">
        <v>2026</v>
      </c>
      <c r="B294" t="s">
        <v>42</v>
      </c>
      <c r="C294" t="s">
        <v>56</v>
      </c>
      <c r="D294" t="s">
        <v>25</v>
      </c>
      <c r="E294">
        <v>230</v>
      </c>
      <c r="F294" t="s">
        <v>110</v>
      </c>
    </row>
    <row r="295" spans="1:6">
      <c r="A295">
        <v>2026</v>
      </c>
      <c r="B295" t="s">
        <v>42</v>
      </c>
      <c r="C295" t="s">
        <v>60</v>
      </c>
      <c r="D295" t="s">
        <v>93</v>
      </c>
      <c r="E295">
        <v>425</v>
      </c>
      <c r="F295" t="s">
        <v>110</v>
      </c>
    </row>
    <row r="296" spans="1:6">
      <c r="A296">
        <v>2026</v>
      </c>
      <c r="B296" t="s">
        <v>42</v>
      </c>
      <c r="C296" t="s">
        <v>60</v>
      </c>
      <c r="D296" t="s">
        <v>95</v>
      </c>
      <c r="E296">
        <v>303</v>
      </c>
      <c r="F296" t="s">
        <v>110</v>
      </c>
    </row>
    <row r="297" spans="1:6">
      <c r="A297">
        <v>2026</v>
      </c>
      <c r="B297" t="s">
        <v>42</v>
      </c>
      <c r="C297" t="s">
        <v>60</v>
      </c>
      <c r="D297" t="s">
        <v>96</v>
      </c>
      <c r="E297">
        <v>350</v>
      </c>
      <c r="F297" t="s">
        <v>110</v>
      </c>
    </row>
    <row r="298" spans="1:6">
      <c r="A298">
        <v>2026</v>
      </c>
      <c r="B298" t="s">
        <v>43</v>
      </c>
      <c r="C298" t="s">
        <v>58</v>
      </c>
      <c r="D298" t="s">
        <v>26</v>
      </c>
      <c r="E298">
        <v>554</v>
      </c>
      <c r="F298" t="s">
        <v>111</v>
      </c>
    </row>
    <row r="299" spans="1:6">
      <c r="A299">
        <v>2026</v>
      </c>
      <c r="B299" t="s">
        <v>43</v>
      </c>
      <c r="C299" t="s">
        <v>58</v>
      </c>
      <c r="D299" t="s">
        <v>27</v>
      </c>
      <c r="E299">
        <v>381</v>
      </c>
      <c r="F299" t="s">
        <v>111</v>
      </c>
    </row>
    <row r="300" spans="1:6">
      <c r="A300">
        <v>2026</v>
      </c>
      <c r="B300" t="s">
        <v>43</v>
      </c>
      <c r="C300" t="s">
        <v>58</v>
      </c>
      <c r="D300" t="s">
        <v>29</v>
      </c>
      <c r="E300">
        <v>313</v>
      </c>
      <c r="F300" t="s">
        <v>111</v>
      </c>
    </row>
    <row r="301" spans="1:6">
      <c r="A301">
        <v>2026</v>
      </c>
      <c r="B301" t="s">
        <v>43</v>
      </c>
      <c r="C301" t="s">
        <v>56</v>
      </c>
      <c r="D301" t="s">
        <v>68</v>
      </c>
      <c r="E301">
        <v>225</v>
      </c>
      <c r="F301" t="s">
        <v>111</v>
      </c>
    </row>
    <row r="302" spans="1:6">
      <c r="A302">
        <v>2026</v>
      </c>
      <c r="B302" t="s">
        <v>43</v>
      </c>
      <c r="C302" t="s">
        <v>56</v>
      </c>
      <c r="D302" t="s">
        <v>16</v>
      </c>
      <c r="E302">
        <v>292</v>
      </c>
      <c r="F302" t="s">
        <v>111</v>
      </c>
    </row>
    <row r="303" spans="1:6">
      <c r="A303">
        <v>2026</v>
      </c>
      <c r="B303" t="s">
        <v>43</v>
      </c>
      <c r="C303" t="s">
        <v>56</v>
      </c>
      <c r="D303" t="s">
        <v>73</v>
      </c>
      <c r="E303">
        <v>160</v>
      </c>
      <c r="F303" t="s">
        <v>111</v>
      </c>
    </row>
    <row r="304" spans="1:6">
      <c r="A304">
        <v>2026</v>
      </c>
      <c r="B304" t="s">
        <v>43</v>
      </c>
      <c r="C304" t="s">
        <v>56</v>
      </c>
      <c r="D304" t="s">
        <v>21</v>
      </c>
      <c r="E304">
        <v>90</v>
      </c>
      <c r="F304" t="s">
        <v>111</v>
      </c>
    </row>
    <row r="305" spans="1:6">
      <c r="A305">
        <v>2026</v>
      </c>
      <c r="B305" t="s">
        <v>43</v>
      </c>
      <c r="C305" t="s">
        <v>56</v>
      </c>
      <c r="D305" t="s">
        <v>19</v>
      </c>
      <c r="E305">
        <v>87</v>
      </c>
      <c r="F305" t="s">
        <v>111</v>
      </c>
    </row>
    <row r="306" spans="1:6">
      <c r="A306">
        <v>2026</v>
      </c>
      <c r="B306" t="s">
        <v>43</v>
      </c>
      <c r="C306" t="s">
        <v>56</v>
      </c>
      <c r="D306" t="s">
        <v>20</v>
      </c>
      <c r="E306">
        <v>78</v>
      </c>
      <c r="F306" t="s">
        <v>111</v>
      </c>
    </row>
    <row r="307" spans="1:6">
      <c r="A307">
        <v>2026</v>
      </c>
      <c r="B307" t="s">
        <v>43</v>
      </c>
      <c r="C307" t="s">
        <v>56</v>
      </c>
      <c r="D307" t="s">
        <v>18</v>
      </c>
      <c r="E307">
        <v>78</v>
      </c>
      <c r="F307" t="s">
        <v>111</v>
      </c>
    </row>
    <row r="308" spans="1:6">
      <c r="A308">
        <v>2026</v>
      </c>
      <c r="B308" t="s">
        <v>43</v>
      </c>
      <c r="C308" t="s">
        <v>56</v>
      </c>
      <c r="D308" t="s">
        <v>25</v>
      </c>
      <c r="E308">
        <v>238</v>
      </c>
      <c r="F308" t="s">
        <v>111</v>
      </c>
    </row>
    <row r="309" spans="1:6">
      <c r="A309">
        <v>2026</v>
      </c>
      <c r="B309" t="s">
        <v>43</v>
      </c>
      <c r="C309" t="s">
        <v>60</v>
      </c>
      <c r="D309" t="s">
        <v>93</v>
      </c>
      <c r="E309">
        <v>507</v>
      </c>
      <c r="F309" t="s">
        <v>111</v>
      </c>
    </row>
    <row r="310" spans="1:6">
      <c r="A310">
        <v>2026</v>
      </c>
      <c r="B310" t="s">
        <v>43</v>
      </c>
      <c r="C310" t="s">
        <v>60</v>
      </c>
      <c r="D310" t="s">
        <v>95</v>
      </c>
      <c r="E310">
        <v>341</v>
      </c>
      <c r="F310" t="s">
        <v>111</v>
      </c>
    </row>
    <row r="311" spans="1:6">
      <c r="A311">
        <v>2026</v>
      </c>
      <c r="B311" t="s">
        <v>43</v>
      </c>
      <c r="C311" t="s">
        <v>60</v>
      </c>
      <c r="D311" t="s">
        <v>96</v>
      </c>
      <c r="E311">
        <v>400</v>
      </c>
      <c r="F311" t="s">
        <v>111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说明与来源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王一鸣</cp:lastModifiedBy>
  <dcterms:created xsi:type="dcterms:W3CDTF">2026-10-16T04:36:37Z</dcterms:created>
  <dcterms:modified xsi:type="dcterms:W3CDTF">2026-10-16T04:40:23Z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CB8F401C40E0497AAD722FF18B56B654_12</vt:lpwstr>
  </property>
  <property fmtid="{D5CDD505-2E9C-101B-9397-08002B2CF9AE}" pid="3" name="KSOProductBuildVer">
    <vt:lpwstr>2052-12.1.0.28802</vt:lpwstr>
  </property>
  <property fmtid="{D5CDD505-2E9C-101B-9397-08002B2CF9AE}" pid="4" name="CalculationRule">
    <vt:i4>0</vt:i4>
  </property>
</Properties>
</file>